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fig" sheetId="1" state="hidden" r:id="rId1"/>
    <sheet name="Summary" sheetId="2" state="visible" r:id="rId2"/>
    <sheet name="Barclays ISA" sheetId="3" state="visible" r:id="rId3"/>
    <sheet name="Intesa Sanpao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&quot; €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6B7280"/>
      <sz val="9"/>
    </font>
    <font>
      <name val="Calibri"/>
      <b val="1"/>
      <color rgb="00002B5C"/>
      <sz val="11"/>
    </font>
    <font>
      <name val="Calibri"/>
      <b val="1"/>
      <color rgb="00002B5C"/>
      <sz val="10"/>
    </font>
    <font>
      <name val="Calibri"/>
      <b val="1"/>
      <color rgb="00FFFFFF"/>
      <sz val="9"/>
    </font>
    <font>
      <name val="Calibri"/>
      <b val="1"/>
      <color rgb="00002B5C"/>
      <sz val="9"/>
    </font>
  </fonts>
  <fills count="6">
    <fill>
      <patternFill/>
    </fill>
    <fill>
      <patternFill patternType="gray125"/>
    </fill>
    <fill>
      <patternFill patternType="solid">
        <fgColor rgb="00002B5C"/>
      </patternFill>
    </fill>
    <fill>
      <patternFill patternType="solid">
        <fgColor rgb="00F4F6F8"/>
      </patternFill>
    </fill>
    <fill>
      <patternFill patternType="solid">
        <fgColor rgb="00FFFE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3" fillId="4" borderId="1" pivotButton="0" quotePrefix="0" xfId="0"/>
    <xf numFmtId="164" fontId="3" fillId="4" borderId="1" pivotButton="0" quotePrefix="0" xfId="0"/>
    <xf numFmtId="0" fontId="4" fillId="3" borderId="0" applyAlignment="1" pivotButton="0" quotePrefix="0" xfId="0">
      <alignment horizontal="left" vertical="center" indent="1"/>
    </xf>
    <xf numFmtId="0" fontId="2" fillId="5" borderId="0" pivotButton="0" quotePrefix="0" xfId="0"/>
    <xf numFmtId="165" fontId="3" fillId="5" borderId="2" pivotButton="0" quotePrefix="0" xfId="0"/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3" fontId="0" fillId="0" borderId="1" pivotButton="0" quotePrefix="0" xfId="0"/>
    <xf numFmtId="0" fontId="6" fillId="0" borderId="1" pivotButton="0" quotePrefix="0" xfId="0"/>
    <xf numFmtId="164" fontId="0" fillId="0" borderId="0" pivotButton="0" quotePrefix="0" xfId="0"/>
    <xf numFmtId="165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ont>
        <color rgb="001B7742"/>
      </font>
    </dxf>
    <dxf>
      <font>
        <color rgb="00B91C1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Accounts" displayName="tblAccounts" ref="A1:A3" headerRowCount="1">
  <autoFilter ref="A1:A3"/>
  <tableColumns count="1">
    <tableColumn id="1" name="Account Name"/>
  </tableColumns>
  <tableStyleInfo name="TableStyleMedium2" showRowStripes="1"/>
</table>
</file>

<file path=xl/tables/table2.xml><?xml version="1.0" encoding="utf-8"?>
<table xmlns="http://schemas.openxmlformats.org/spreadsheetml/2006/main" id="2" name="tbl_Barclays_ISA" displayName="tbl_Barclays_ISA" ref="A48:AP53" headerRowCount="1">
  <autoFilter ref="A48:AP53"/>
  <tableColumns count="42">
    <tableColumn id="1" name="Asset Class"/>
    <tableColumn id="2" name="ISIN"/>
    <tableColumn id="3" name="Ticker"/>
    <tableColumn id="4" name="Security Name"/>
    <tableColumn id="5" name="Issuer"/>
    <tableColumn id="6" name="Currency"/>
    <tableColumn id="7" name="FX to EUR"/>
    <tableColumn id="8" name="Purchase Date"/>
    <tableColumn id="9" name="Purchase Price"/>
    <tableColumn id="10" name="Quantity / Nominal"/>
    <tableColumn id="11" name="Purchase Fees"/>
    <tableColumn id="12" name="Other Purchase Costs"/>
    <tableColumn id="13" name="Total Cost Basis"/>
    <tableColumn id="14" name="Current Price"/>
    <tableColumn id="15" name="Current Market Value"/>
    <tableColumn id="16" name="Value (EUR)"/>
    <tableColumn id="17" name="Unrealized P/L (€)"/>
    <tableColumn id="18" name="Unrealized P/L (%)"/>
    <tableColumn id="19" name="Sale Date"/>
    <tableColumn id="20" name="Sale Price"/>
    <tableColumn id="21" name="Sale Fees"/>
    <tableColumn id="22" name="Net Sale Proceeds"/>
    <tableColumn id="23" name="Realized P/L (€)"/>
    <tableColumn id="24" name="Realized P/L (%)"/>
    <tableColumn id="25" name="Status"/>
    <tableColumn id="26" name="Notes"/>
    <tableColumn id="27" name="Income Date"/>
    <tableColumn id="28" name="Coupon %"/>
    <tableColumn id="29" name="Coupon Frequency"/>
    <tableColumn id="30" name="Coupon Payment Dates"/>
    <tableColumn id="31" name="Coupons Received"/>
    <tableColumn id="32" name="Maturity Date"/>
    <tableColumn id="33" name="Yield to Maturity"/>
    <tableColumn id="34" name="Duration"/>
    <tableColumn id="35" name="Dividend Yield"/>
    <tableColumn id="36" name="Dividends Received"/>
    <tableColumn id="37" name="Exchange"/>
    <tableColumn id="38" name="Distribution Type"/>
    <tableColumn id="39" name="TER"/>
    <tableColumn id="40" name="Benchmark Index"/>
    <tableColumn id="41" name="Interest Rate"/>
    <tableColumn id="42" name="Interest Received"/>
  </tableColumns>
  <tableStyleInfo name="TableStyleMedium2" showRowStripes="1"/>
</table>
</file>

<file path=xl/tables/table3.xml><?xml version="1.0" encoding="utf-8"?>
<table xmlns="http://schemas.openxmlformats.org/spreadsheetml/2006/main" id="3" name="tbl_Intesa_Sanpaolo" displayName="tbl_Intesa_Sanpaolo" ref="A48:AP53" headerRowCount="1">
  <autoFilter ref="A48:AP53"/>
  <tableColumns count="42">
    <tableColumn id="1" name="Asset Class"/>
    <tableColumn id="2" name="ISIN"/>
    <tableColumn id="3" name="Ticker"/>
    <tableColumn id="4" name="Security Name"/>
    <tableColumn id="5" name="Issuer"/>
    <tableColumn id="6" name="Currency"/>
    <tableColumn id="7" name="FX to EUR"/>
    <tableColumn id="8" name="Purchase Date"/>
    <tableColumn id="9" name="Purchase Price"/>
    <tableColumn id="10" name="Quantity / Nominal"/>
    <tableColumn id="11" name="Purchase Fees"/>
    <tableColumn id="12" name="Other Purchase Costs"/>
    <tableColumn id="13" name="Total Cost Basis"/>
    <tableColumn id="14" name="Current Price"/>
    <tableColumn id="15" name="Current Market Value"/>
    <tableColumn id="16" name="Value (EUR)"/>
    <tableColumn id="17" name="Unrealized P/L (€)"/>
    <tableColumn id="18" name="Unrealized P/L (%)"/>
    <tableColumn id="19" name="Sale Date"/>
    <tableColumn id="20" name="Sale Price"/>
    <tableColumn id="21" name="Sale Fees"/>
    <tableColumn id="22" name="Net Sale Proceeds"/>
    <tableColumn id="23" name="Realized P/L (€)"/>
    <tableColumn id="24" name="Realized P/L (%)"/>
    <tableColumn id="25" name="Status"/>
    <tableColumn id="26" name="Notes"/>
    <tableColumn id="27" name="Income Date"/>
    <tableColumn id="28" name="Coupon %"/>
    <tableColumn id="29" name="Coupon Frequency"/>
    <tableColumn id="30" name="Coupon Payment Dates"/>
    <tableColumn id="31" name="Coupons Received"/>
    <tableColumn id="32" name="Maturity Date"/>
    <tableColumn id="33" name="Yield to Maturity"/>
    <tableColumn id="34" name="Duration"/>
    <tableColumn id="35" name="Dividend Yield"/>
    <tableColumn id="36" name="Dividends Received"/>
    <tableColumn id="37" name="Exchange"/>
    <tableColumn id="38" name="Distribution Type"/>
    <tableColumn id="39" name="TER"/>
    <tableColumn id="40" name="Benchmark Index"/>
    <tableColumn id="41" name="Interest Rate"/>
    <tableColumn id="42" name="Interest Receiv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</row>
    <row r="2">
      <c r="A2" t="inlineStr">
        <is>
          <t>Barclays ISA</t>
        </is>
      </c>
      <c r="C2" t="inlineStr">
        <is>
          <t>Current Month</t>
        </is>
      </c>
      <c r="E2" t="inlineStr">
        <is>
          <t>All</t>
        </is>
      </c>
    </row>
    <row r="3">
      <c r="A3" t="inlineStr">
        <is>
          <t>Intesa Sanpaolo</t>
        </is>
      </c>
      <c r="C3" t="inlineStr">
        <is>
          <t>Current Quarter</t>
        </is>
      </c>
      <c r="E3" t="inlineStr">
        <is>
          <t>Bonds</t>
        </is>
      </c>
    </row>
    <row r="4">
      <c r="C4" t="inlineStr">
        <is>
          <t>Current Year</t>
        </is>
      </c>
      <c r="E4" t="inlineStr">
        <is>
          <t>Stocks</t>
        </is>
      </c>
    </row>
    <row r="5">
      <c r="C5" t="inlineStr">
        <is>
          <t>Previous Year</t>
        </is>
      </c>
      <c r="E5" t="inlineStr">
        <is>
          <t>ETFs</t>
        </is>
      </c>
    </row>
    <row r="6">
      <c r="C6" t="inlineStr">
        <is>
          <t>Since Inception</t>
        </is>
      </c>
      <c r="E6" t="inlineStr">
        <is>
          <t>Funds</t>
        </is>
      </c>
    </row>
    <row r="7">
      <c r="C7" t="inlineStr">
        <is>
          <t>Custom</t>
        </is>
      </c>
      <c r="E7" t="inlineStr">
        <is>
          <t>Cash</t>
        </is>
      </c>
    </row>
    <row r="8">
      <c r="E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</cols>
  <sheetData>
    <row r="1" ht="28" customHeight="1">
      <c r="A1" s="1" t="inlineStr">
        <is>
          <t>PORTFOLIO PERFORMANCE REPORT</t>
        </is>
      </c>
    </row>
    <row r="2">
      <c r="A2" s="2" t="inlineStr">
        <is>
          <t>Consolidated view | All accounts | EUR reporting currency</t>
        </is>
      </c>
      <c r="H2" s="3" t="inlineStr">
        <is>
          <t>As of</t>
        </is>
      </c>
      <c r="I2" s="4">
        <f>TODAY()</f>
        <v/>
      </c>
    </row>
    <row r="3">
      <c r="A3" s="5" t="inlineStr">
        <is>
          <t>REPORTING FILTERS</t>
        </is>
      </c>
    </row>
    <row r="4">
      <c r="A4" s="3" t="inlineStr">
        <is>
          <t>Reporting Period</t>
        </is>
      </c>
      <c r="B4" t="inlineStr"/>
      <c r="C4" s="6" t="inlineStr">
        <is>
          <t>Since Inception</t>
        </is>
      </c>
    </row>
    <row r="5">
      <c r="A5" s="3" t="inlineStr">
        <is>
          <t>Asset Class</t>
        </is>
      </c>
      <c r="B5" t="inlineStr"/>
      <c r="C5" s="6" t="inlineStr">
        <is>
          <t>All</t>
        </is>
      </c>
    </row>
    <row r="6">
      <c r="A6" s="3" t="inlineStr">
        <is>
          <t>Custom Start</t>
        </is>
      </c>
      <c r="B6" t="inlineStr"/>
      <c r="C6" s="7" t="inlineStr"/>
    </row>
    <row r="7">
      <c r="A7" s="3" t="inlineStr">
        <is>
          <t>Custom End</t>
        </is>
      </c>
      <c r="B7" t="inlineStr"/>
      <c r="C7" s="7" t="inlineStr"/>
    </row>
    <row r="9">
      <c r="A9" s="8" t="inlineStr">
        <is>
          <t>PORTFOLIO SNAPSHOT</t>
        </is>
      </c>
    </row>
    <row r="10">
      <c r="A10" s="9" t="inlineStr">
        <is>
          <t>Net Asset Value</t>
        </is>
      </c>
      <c r="B10" s="9" t="inlineStr">
        <is>
          <t>Invested Capital</t>
        </is>
      </c>
      <c r="C10" s="9" t="inlineStr">
        <is>
          <t>Unrealized P/L</t>
        </is>
      </c>
      <c r="D10" s="9" t="inlineStr">
        <is>
          <t>Realized P/L</t>
        </is>
      </c>
      <c r="E10" s="9" t="inlineStr">
        <is>
          <t>Cash</t>
        </is>
      </c>
      <c r="F10" s="9" t="inlineStr">
        <is>
          <t>Income</t>
        </is>
      </c>
    </row>
    <row r="11">
      <c r="A11" s="10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B11" s="10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</f>
        <v/>
      </c>
      <c r="C11" s="10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D11" s="10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E11" s="10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(EUR)]"),(INDIRECT("'"&amp;acct&amp;"'!tbl_"&amp;SUBSTITUTE(acct," ","_")&amp;"[Asset Class]")="Cash")*(INDIRECT("'"&amp;acct&amp;"'!tbl_"&amp;SUBSTITUTE(acct,"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11" s="10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Received]"),((acSel="All")+(INDIRECT("'"&amp;acct&amp;"'!tbl_"&amp;SUBSTITUTE(acct," ","_")&amp;"[Asset Class]")=acSel))))+SUM(FILTER(INDIRECT("'"&amp;acct&amp;"'!tbl_"&amp;SUBSTITUTE(acct," ","_")&amp;"[Interest Received]"),((acSel="All")+(INDIRECT("'"&amp;acct&amp;"'!tbl_"&amp;SUBSTITUTE(acct," ","_")&amp;"[Asset Class]")=acSel)))),0)))),SUM(BYROW(tblAccounts[Account Name],LAMBDA(acct,IFERROR(SUM(FILTER(INDIRECT("'"&amp;acct&amp;"'!tbl_"&amp;SUBSTITUTE(acct," ","_")&amp;"[Dividends Received]"),((acSel="All")+(INDIRECT("'"&amp;acct&amp;"'!tbl_"&amp;SUBSTITUTE(acct," ","_")&amp;"[Asset Class]")=acSel))*(INDIRECT("'"&amp;acct&amp;"'!tbl_"&amp;SUBSTITUTE(acct,"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Received]"),((acSel="All")+(INDIRECT("'"&amp;acct&amp;"'!tbl_"&amp;SUBSTITUTE(acct," ","_")&amp;"[Asset Class]")=acSel))*(INDIRECT("'"&amp;acct&amp;"'!tbl_"&amp;SUBSTITUTE(acct,"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</row>
    <row r="13">
      <c r="A13" s="8" t="inlineStr">
        <is>
          <t>PERFORMANCE BREAKDOWN BY ASSET CLASS</t>
        </is>
      </c>
    </row>
    <row r="14">
      <c r="A14" s="11" t="inlineStr">
        <is>
          <t>Asset Class</t>
        </is>
      </c>
      <c r="B14" s="12" t="inlineStr">
        <is>
          <t>Market Value</t>
        </is>
      </c>
      <c r="C14" s="12" t="inlineStr">
        <is>
          <t>Weight</t>
        </is>
      </c>
      <c r="D14" s="12" t="inlineStr">
        <is>
          <t>Cost Basis</t>
        </is>
      </c>
      <c r="E14" s="12" t="inlineStr">
        <is>
          <t>Unrealized</t>
        </is>
      </c>
      <c r="F14" s="12" t="inlineStr">
        <is>
          <t>Unrealized %</t>
        </is>
      </c>
      <c r="G14" s="12" t="inlineStr">
        <is>
          <t>Realized</t>
        </is>
      </c>
      <c r="H14" s="12" t="inlineStr">
        <is>
          <t>Income</t>
        </is>
      </c>
      <c r="I14" s="12" t="inlineStr">
        <is>
          <t>Open Pos.</t>
        </is>
      </c>
    </row>
    <row r="15">
      <c r="A15" s="13" t="inlineStr">
        <is>
          <t>Bonds</t>
        </is>
      </c>
      <c r="B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(EUR)]"),(INDIRECT("'"&amp;acct&amp;"'!tbl_"&amp;SUBSTITUTE(acct," ","_")&amp;"[Asset Class]")="Bonds")*(INDIRECT("'"&amp;acct&amp;"'!tbl_"&amp;SUBSTITUTE(acct,"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15" s="15">
        <f>IFERROR(IF(B21=0,0,B15/B21),0)</f>
        <v/>
      </c>
      <c r="D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","_")&amp;"[Total Cost Basis]"),(INDIRECT("'"&amp;acct&amp;"'!tbl_"&amp;SUBSTITUTE(acct," ","_")&amp;"[Asset Class]")="Bonds")*(INDIRECT("'"&amp;acct&amp;"'!tbl_"&amp;SUBSTITUTE(acct," ","_")&amp;"[Purchase Date]")&gt;=pStart)*(INDIRECT("'"&amp;acct&amp;"'!tbl_"&amp;SUBSTITUTE(acct," ","_")&amp;"[Purchase Date]")&lt;=pEnd))),0)))),0))</f>
        <v/>
      </c>
      <c r="E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(€)]"),(INDIRECT("'"&amp;acct&amp;"'!tbl_"&amp;SUBSTITUTE(acct," ","_")&amp;"[Asset Class]")="Bonds")*(INDIRECT("'"&amp;acct&amp;"'!tbl_"&amp;SUBSTITUTE(acct,"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15" s="15">
        <f>IFERROR(IF(D15=0,0,E15/D15),0)</f>
        <v/>
      </c>
      <c r="G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(€)]"),(INDIRECT("'"&amp;acct&amp;"'!tbl_"&amp;SUBSTITUTE(acct," ","_")&amp;"[Asset Class]")="Bonds")*(INDIRECT("'"&amp;acct&amp;"'!tbl_"&amp;SUBSTITUTE(acct,"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H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Received]"),(INDIRECT("'"&amp;acct&amp;"'!tbl_"&amp;SUBSTITUTE(acct," ","_")&amp;"[Asset Class]")="Bonds")))+SUM(FILTER(INDIRECT("'"&amp;acct&amp;"'!tbl_"&amp;SUBSTITUTE(acct," ","_")&amp;"[Interest Received]"),(INDIRECT("'"&amp;acct&amp;"'!tbl_"&amp;SUBSTITUTE(acct," ","_")&amp;"[Asset Class]")="Bonds"))),0)))),SUM(BYROW(tblAccounts[Account Name],LAMBDA(acct,IFERROR(SUM(FILTER(INDIRECT("'"&amp;acct&amp;"'!tbl_"&amp;SUBSTITUTE(acct," ","_")&amp;"[Dividends Received]"),(INDIRECT("'"&amp;acct&amp;"'!tbl_"&amp;SUBSTITUTE(acct," ","_")&amp;"[Asset Class]")="Bonds")*(INDIRECT("'"&amp;acct&amp;"'!tbl_"&amp;SUBSTITUTE(acct,"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Received]"),(INDIRECT("'"&amp;acct&amp;"'!tbl_"&amp;SUBSTITUTE(acct," ","_")&amp;"[Asset Class]")="Bonds")*(INDIRECT("'"&amp;acct&amp;"'!tbl_"&amp;SUBSTITUTE(acct,"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  <c r="I15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Name],LAMBDA(acct,IFERROR(ROWS(FILTER(INDIRECT("'"&amp;acct&amp;"'!tbl_"&amp;SUBSTITUTE(acct," ","_")&amp;"[Asset Class]"),(INDIRECT("'"&amp;acct&amp;"'!tbl_"&amp;SUBSTITUTE(acct," ","_")&amp;"[Asset Class]")="Bonds")*(INDIRECT("'"&amp;acct&amp;"'!tbl_"&amp;SUBSTITUTE(acct," ","_")&amp;"[Status]")="Open")*(INDIRECT("'"&amp;acct&amp;"'!tbl_"&amp;SUBSTITUTE(acct,"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16">
      <c r="A16" s="13" t="inlineStr">
        <is>
          <t>Stocks</t>
        </is>
      </c>
      <c r="B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(EUR)]"),(INDIRECT("'"&amp;acct&amp;"'!tbl_"&amp;SUBSTITUTE(acct," ","_")&amp;"[Asset Class]")="Stocks")*(INDIRECT("'"&amp;acct&amp;"'!tbl_"&amp;SUBSTITUTE(acct,"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16" s="15">
        <f>IFERROR(IF(B21=0,0,B16/B21),0)</f>
        <v/>
      </c>
      <c r="D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","_")&amp;"[Total Cost Basis]"),(INDIRECT("'"&amp;acct&amp;"'!tbl_"&amp;SUBSTITUTE(acct," ","_")&amp;"[Asset Class]")="Stocks")*(INDIRECT("'"&amp;acct&amp;"'!tbl_"&amp;SUBSTITUTE(acct," ","_")&amp;"[Purchase Date]")&gt;=pStart)*(INDIRECT("'"&amp;acct&amp;"'!tbl_"&amp;SUBSTITUTE(acct," ","_")&amp;"[Purchase Date]")&lt;=pEnd))),0)))),0))</f>
        <v/>
      </c>
      <c r="E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(€)]"),(INDIRECT("'"&amp;acct&amp;"'!tbl_"&amp;SUBSTITUTE(acct," ","_")&amp;"[Asset Class]")="Stocks")*(INDIRECT("'"&amp;acct&amp;"'!tbl_"&amp;SUBSTITUTE(acct,"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16" s="15">
        <f>IFERROR(IF(D16=0,0,E16/D16),0)</f>
        <v/>
      </c>
      <c r="G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(€)]"),(INDIRECT("'"&amp;acct&amp;"'!tbl_"&amp;SUBSTITUTE(acct," ","_")&amp;"[Asset Class]")="Stocks")*(INDIRECT("'"&amp;acct&amp;"'!tbl_"&amp;SUBSTITUTE(acct,"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H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Received]"),(INDIRECT("'"&amp;acct&amp;"'!tbl_"&amp;SUBSTITUTE(acct," ","_")&amp;"[Asset Class]")="Stocks")))+SUM(FILTER(INDIRECT("'"&amp;acct&amp;"'!tbl_"&amp;SUBSTITUTE(acct," ","_")&amp;"[Interest Received]"),(INDIRECT("'"&amp;acct&amp;"'!tbl_"&amp;SUBSTITUTE(acct," ","_")&amp;"[Asset Class]")="Stocks"))),0)))),SUM(BYROW(tblAccounts[Account Name],LAMBDA(acct,IFERROR(SUM(FILTER(INDIRECT("'"&amp;acct&amp;"'!tbl_"&amp;SUBSTITUTE(acct," ","_")&amp;"[Dividends Received]"),(INDIRECT("'"&amp;acct&amp;"'!tbl_"&amp;SUBSTITUTE(acct," ","_")&amp;"[Asset Class]")="Stocks")*(INDIRECT("'"&amp;acct&amp;"'!tbl_"&amp;SUBSTITUTE(acct,"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Received]"),(INDIRECT("'"&amp;acct&amp;"'!tbl_"&amp;SUBSTITUTE(acct," ","_")&amp;"[Asset Class]")="Stocks")*(INDIRECT("'"&amp;acct&amp;"'!tbl_"&amp;SUBSTITUTE(acct,"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  <c r="I16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Name],LAMBDA(acct,IFERROR(ROWS(FILTER(INDIRECT("'"&amp;acct&amp;"'!tbl_"&amp;SUBSTITUTE(acct," ","_")&amp;"[Asset Class]"),(INDIRECT("'"&amp;acct&amp;"'!tbl_"&amp;SUBSTITUTE(acct," ","_")&amp;"[Asset Class]")="Stocks")*(INDIRECT("'"&amp;acct&amp;"'!tbl_"&amp;SUBSTITUTE(acct," ","_")&amp;"[Status]")="Open")*(INDIRECT("'"&amp;acct&amp;"'!tbl_"&amp;SUBSTITUTE(acct,"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17">
      <c r="A17" s="13" t="inlineStr">
        <is>
          <t>ETFs</t>
        </is>
      </c>
      <c r="B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(EUR)]"),(INDIRECT("'"&amp;acct&amp;"'!tbl_"&amp;SUBSTITUTE(acct," ","_")&amp;"[Asset Class]")="ETFs")*(INDIRECT("'"&amp;acct&amp;"'!tbl_"&amp;SUBSTITUTE(acct,"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17" s="15">
        <f>IFERROR(IF(B21=0,0,B17/B21),0)</f>
        <v/>
      </c>
      <c r="D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","_")&amp;"[Total Cost Basis]"),(INDIRECT("'"&amp;acct&amp;"'!tbl_"&amp;SUBSTITUTE(acct," ","_")&amp;"[Asset Class]")="ETFs")*(INDIRECT("'"&amp;acct&amp;"'!tbl_"&amp;SUBSTITUTE(acct," ","_")&amp;"[Purchase Date]")&gt;=pStart)*(INDIRECT("'"&amp;acct&amp;"'!tbl_"&amp;SUBSTITUTE(acct," ","_")&amp;"[Purchase Date]")&lt;=pEnd))),0)))),0))</f>
        <v/>
      </c>
      <c r="E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(€)]"),(INDIRECT("'"&amp;acct&amp;"'!tbl_"&amp;SUBSTITUTE(acct," ","_")&amp;"[Asset Class]")="ETFs")*(INDIRECT("'"&amp;acct&amp;"'!tbl_"&amp;SUBSTITUTE(acct,"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17" s="15">
        <f>IFERROR(IF(D17=0,0,E17/D17),0)</f>
        <v/>
      </c>
      <c r="G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(€)]"),(INDIRECT("'"&amp;acct&amp;"'!tbl_"&amp;SUBSTITUTE(acct," ","_")&amp;"[Asset Class]")="ETFs")*(INDIRECT("'"&amp;acct&amp;"'!tbl_"&amp;SUBSTITUTE(acct,"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H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Received]"),(INDIRECT("'"&amp;acct&amp;"'!tbl_"&amp;SUBSTITUTE(acct," ","_")&amp;"[Asset Class]")="ETFs")))+SUM(FILTER(INDIRECT("'"&amp;acct&amp;"'!tbl_"&amp;SUBSTITUTE(acct," ","_")&amp;"[Interest Received]"),(INDIRECT("'"&amp;acct&amp;"'!tbl_"&amp;SUBSTITUTE(acct," ","_")&amp;"[Asset Class]")="ETFs"))),0)))),SUM(BYROW(tblAccounts[Account Name],LAMBDA(acct,IFERROR(SUM(FILTER(INDIRECT("'"&amp;acct&amp;"'!tbl_"&amp;SUBSTITUTE(acct," ","_")&amp;"[Dividends Received]"),(INDIRECT("'"&amp;acct&amp;"'!tbl_"&amp;SUBSTITUTE(acct," ","_")&amp;"[Asset Class]")="ETFs")*(INDIRECT("'"&amp;acct&amp;"'!tbl_"&amp;SUBSTITUTE(acct,"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Received]"),(INDIRECT("'"&amp;acct&amp;"'!tbl_"&amp;SUBSTITUTE(acct," ","_")&amp;"[Asset Class]")="ETFs")*(INDIRECT("'"&amp;acct&amp;"'!tbl_"&amp;SUBSTITUTE(acct,"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  <c r="I17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Name],LAMBDA(acct,IFERROR(ROWS(FILTER(INDIRECT("'"&amp;acct&amp;"'!tbl_"&amp;SUBSTITUTE(acct," ","_")&amp;"[Asset Class]"),(INDIRECT("'"&amp;acct&amp;"'!tbl_"&amp;SUBSTITUTE(acct," ","_")&amp;"[Asset Class]")="ETFs")*(INDIRECT("'"&amp;acct&amp;"'!tbl_"&amp;SUBSTITUTE(acct," ","_")&amp;"[Status]")="Open")*(INDIRECT("'"&amp;acct&amp;"'!tbl_"&amp;SUBSTITUTE(acct,"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18">
      <c r="A18" s="13" t="inlineStr">
        <is>
          <t>Funds</t>
        </is>
      </c>
      <c r="B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(EUR)]"),(INDIRECT("'"&amp;acct&amp;"'!tbl_"&amp;SUBSTITUTE(acct," ","_")&amp;"[Asset Class]")="Funds")*(INDIRECT("'"&amp;acct&amp;"'!tbl_"&amp;SUBSTITUTE(acct,"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18" s="15">
        <f>IFERROR(IF(B21=0,0,B18/B21),0)</f>
        <v/>
      </c>
      <c r="D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","_")&amp;"[Total Cost Basis]"),(INDIRECT("'"&amp;acct&amp;"'!tbl_"&amp;SUBSTITUTE(acct," ","_")&amp;"[Asset Class]")="Funds")*(INDIRECT("'"&amp;acct&amp;"'!tbl_"&amp;SUBSTITUTE(acct," ","_")&amp;"[Purchase Date]")&gt;=pStart)*(INDIRECT("'"&amp;acct&amp;"'!tbl_"&amp;SUBSTITUTE(acct," ","_")&amp;"[Purchase Date]")&lt;=pEnd))),0)))),0))</f>
        <v/>
      </c>
      <c r="E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(€)]"),(INDIRECT("'"&amp;acct&amp;"'!tbl_"&amp;SUBSTITUTE(acct," ","_")&amp;"[Asset Class]")="Funds")*(INDIRECT("'"&amp;acct&amp;"'!tbl_"&amp;SUBSTITUTE(acct,"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18" s="15">
        <f>IFERROR(IF(D18=0,0,E18/D18),0)</f>
        <v/>
      </c>
      <c r="G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(€)]"),(INDIRECT("'"&amp;acct&amp;"'!tbl_"&amp;SUBSTITUTE(acct," ","_")&amp;"[Asset Class]")="Funds")*(INDIRECT("'"&amp;acct&amp;"'!tbl_"&amp;SUBSTITUTE(acct,"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H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Received]"),(INDIRECT("'"&amp;acct&amp;"'!tbl_"&amp;SUBSTITUTE(acct," ","_")&amp;"[Asset Class]")="Funds")))+SUM(FILTER(INDIRECT("'"&amp;acct&amp;"'!tbl_"&amp;SUBSTITUTE(acct," ","_")&amp;"[Interest Received]"),(INDIRECT("'"&amp;acct&amp;"'!tbl_"&amp;SUBSTITUTE(acct," ","_")&amp;"[Asset Class]")="Funds"))),0)))),SUM(BYROW(tblAccounts[Account Name],LAMBDA(acct,IFERROR(SUM(FILTER(INDIRECT("'"&amp;acct&amp;"'!tbl_"&amp;SUBSTITUTE(acct," ","_")&amp;"[Dividends Received]"),(INDIRECT("'"&amp;acct&amp;"'!tbl_"&amp;SUBSTITUTE(acct," ","_")&amp;"[Asset Class]")="Funds")*(INDIRECT("'"&amp;acct&amp;"'!tbl_"&amp;SUBSTITUTE(acct,"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Received]"),(INDIRECT("'"&amp;acct&amp;"'!tbl_"&amp;SUBSTITUTE(acct," ","_")&amp;"[Asset Class]")="Funds")*(INDIRECT("'"&amp;acct&amp;"'!tbl_"&amp;SUBSTITUTE(acct,"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  <c r="I18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Name],LAMBDA(acct,IFERROR(ROWS(FILTER(INDIRECT("'"&amp;acct&amp;"'!tbl_"&amp;SUBSTITUTE(acct," ","_")&amp;"[Asset Class]"),(INDIRECT("'"&amp;acct&amp;"'!tbl_"&amp;SUBSTITUTE(acct," ","_")&amp;"[Asset Class]")="Funds")*(INDIRECT("'"&amp;acct&amp;"'!tbl_"&amp;SUBSTITUTE(acct," ","_")&amp;"[Status]")="Open")*(INDIRECT("'"&amp;acct&amp;"'!tbl_"&amp;SUBSTITUTE(acct,"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19">
      <c r="A19" s="13" t="inlineStr">
        <is>
          <t>Cash</t>
        </is>
      </c>
      <c r="B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(EUR)]"),(INDIRECT("'"&amp;acct&amp;"'!tbl_"&amp;SUBSTITUTE(acct," ","_")&amp;"[Asset Class]")="Cash")*(INDIRECT("'"&amp;acct&amp;"'!tbl_"&amp;SUBSTITUTE(acct,"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19" s="15">
        <f>IFERROR(IF(B21=0,0,B19/B21),0)</f>
        <v/>
      </c>
      <c r="D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","_")&amp;"[Total Cost Basis]"),(INDIRECT("'"&amp;acct&amp;"'!tbl_"&amp;SUBSTITUTE(acct," ","_")&amp;"[Asset Class]")="Cash")*(INDIRECT("'"&amp;acct&amp;"'!tbl_"&amp;SUBSTITUTE(acct," ","_")&amp;"[Purchase Date]")&gt;=pStart)*(INDIRECT("'"&amp;acct&amp;"'!tbl_"&amp;SUBSTITUTE(acct," ","_")&amp;"[Purchase Date]")&lt;=pEnd))),0)))),0))</f>
        <v/>
      </c>
      <c r="E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(€)]"),(INDIRECT("'"&amp;acct&amp;"'!tbl_"&amp;SUBSTITUTE(acct," ","_")&amp;"[Asset Class]")="Cash")*(INDIRECT("'"&amp;acct&amp;"'!tbl_"&amp;SUBSTITUTE(acct,"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19" s="15">
        <f>IFERROR(IF(D19=0,0,E19/D19),0)</f>
        <v/>
      </c>
      <c r="G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(€)]"),(INDIRECT("'"&amp;acct&amp;"'!tbl_"&amp;SUBSTITUTE(acct," ","_")&amp;"[Asset Class]")="Cash")*(INDIRECT("'"&amp;acct&amp;"'!tbl_"&amp;SUBSTITUTE(acct,"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H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Received]"),(INDIRECT("'"&amp;acct&amp;"'!tbl_"&amp;SUBSTITUTE(acct," ","_")&amp;"[Asset Class]")="Cash")))+SUM(FILTER(INDIRECT("'"&amp;acct&amp;"'!tbl_"&amp;SUBSTITUTE(acct," ","_")&amp;"[Interest Received]"),(INDIRECT("'"&amp;acct&amp;"'!tbl_"&amp;SUBSTITUTE(acct," ","_")&amp;"[Asset Class]")="Cash"))),0)))),SUM(BYROW(tblAccounts[Account Name],LAMBDA(acct,IFERROR(SUM(FILTER(INDIRECT("'"&amp;acct&amp;"'!tbl_"&amp;SUBSTITUTE(acct," ","_")&amp;"[Dividends Received]"),(INDIRECT("'"&amp;acct&amp;"'!tbl_"&amp;SUBSTITUTE(acct," ","_")&amp;"[Asset Class]")="Cash")*(INDIRECT("'"&amp;acct&amp;"'!tbl_"&amp;SUBSTITUTE(acct,"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Received]"),(INDIRECT("'"&amp;acct&amp;"'!tbl_"&amp;SUBSTITUTE(acct," ","_")&amp;"[Asset Class]")="Cash")*(INDIRECT("'"&amp;acct&amp;"'!tbl_"&amp;SUBSTITUTE(acct,"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  <c r="I19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Name],LAMBDA(acct,IFERROR(ROWS(FILTER(INDIRECT("'"&amp;acct&amp;"'!tbl_"&amp;SUBSTITUTE(acct," ","_")&amp;"[Asset Class]"),(INDIRECT("'"&amp;acct&amp;"'!tbl_"&amp;SUBSTITUTE(acct," ","_")&amp;"[Asset Class]")="Cash")*(INDIRECT("'"&amp;acct&amp;"'!tbl_"&amp;SUBSTITUTE(acct," ","_")&amp;"[Status]")="Open")*(INDIRECT("'"&amp;acct&amp;"'!tbl_"&amp;SUBSTITUTE(acct,"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20">
      <c r="A20" s="13" t="inlineStr">
        <is>
          <t>Other</t>
        </is>
      </c>
      <c r="B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(EUR)]"),(INDIRECT("'"&amp;acct&amp;"'!tbl_"&amp;SUBSTITUTE(acct," ","_")&amp;"[Asset Class]")="Other")*(INDIRECT("'"&amp;acct&amp;"'!tbl_"&amp;SUBSTITUTE(acct,"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20" s="15">
        <f>IFERROR(IF(B21=0,0,B20/B21),0)</f>
        <v/>
      </c>
      <c r="D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","_")&amp;"[Total Cost Basis]"),(INDIRECT("'"&amp;acct&amp;"'!tbl_"&amp;SUBSTITUTE(acct," ","_")&amp;"[Asset Class]")="Other")*(INDIRECT("'"&amp;acct&amp;"'!tbl_"&amp;SUBSTITUTE(acct," ","_")&amp;"[Purchase Date]")&gt;=pStart)*(INDIRECT("'"&amp;acct&amp;"'!tbl_"&amp;SUBSTITUTE(acct," ","_")&amp;"[Purchase Date]")&lt;=pEnd))),0)))),0))</f>
        <v/>
      </c>
      <c r="E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(€)]"),(INDIRECT("'"&amp;acct&amp;"'!tbl_"&amp;SUBSTITUTE(acct," ","_")&amp;"[Asset Class]")="Other")*(INDIRECT("'"&amp;acct&amp;"'!tbl_"&amp;SUBSTITUTE(acct,"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20" s="15">
        <f>IFERROR(IF(D20=0,0,E20/D20),0)</f>
        <v/>
      </c>
      <c r="G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(€)]"),(INDIRECT("'"&amp;acct&amp;"'!tbl_"&amp;SUBSTITUTE(acct," ","_")&amp;"[Asset Class]")="Other")*(INDIRECT("'"&amp;acct&amp;"'!tbl_"&amp;SUBSTITUTE(acct,"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H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Received]"),(INDIRECT("'"&amp;acct&amp;"'!tbl_"&amp;SUBSTITUTE(acct," ","_")&amp;"[Asset Class]")="Other")))+SUM(FILTER(INDIRECT("'"&amp;acct&amp;"'!tbl_"&amp;SUBSTITUTE(acct," ","_")&amp;"[Interest Received]"),(INDIRECT("'"&amp;acct&amp;"'!tbl_"&amp;SUBSTITUTE(acct," ","_")&amp;"[Asset Class]")="Other"))),0)))),SUM(BYROW(tblAccounts[Account Name],LAMBDA(acct,IFERROR(SUM(FILTER(INDIRECT("'"&amp;acct&amp;"'!tbl_"&amp;SUBSTITUTE(acct," ","_")&amp;"[Dividends Received]"),(INDIRECT("'"&amp;acct&amp;"'!tbl_"&amp;SUBSTITUTE(acct," ","_")&amp;"[Asset Class]")="Other")*(INDIRECT("'"&amp;acct&amp;"'!tbl_"&amp;SUBSTITUTE(acct,"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Received]"),(INDIRECT("'"&amp;acct&amp;"'!tbl_"&amp;SUBSTITUTE(acct," ","_")&amp;"[Asset Class]")="Other")*(INDIRECT("'"&amp;acct&amp;"'!tbl_"&amp;SUBSTITUTE(acct,"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  <c r="I20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Name],LAMBDA(acct,IFERROR(ROWS(FILTER(INDIRECT("'"&amp;acct&amp;"'!tbl_"&amp;SUBSTITUTE(acct," ","_")&amp;"[Asset Class]"),(INDIRECT("'"&amp;acct&amp;"'!tbl_"&amp;SUBSTITUTE(acct," ","_")&amp;"[Asset Class]")="Other")*(INDIRECT("'"&amp;acct&amp;"'!tbl_"&amp;SUBSTITUTE(acct," ","_")&amp;"[Status]")="Open")*(INDIRECT("'"&amp;acct&amp;"'!tbl_"&amp;SUBSTITUTE(acct,"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21">
      <c r="A21" s="17" t="inlineStr">
        <is>
          <t>TOTAL</t>
        </is>
      </c>
      <c r="B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21" s="15" t="n">
        <v>1</v>
      </c>
      <c r="D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</f>
        <v/>
      </c>
      <c r="E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21" s="15">
        <f>IFERROR(IF(D21=0,0,E21/D21),0)</f>
        <v/>
      </c>
      <c r="G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H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Received]"),((acSel="All")+(INDIRECT("'"&amp;acct&amp;"'!tbl_"&amp;SUBSTITUTE(acct," ","_")&amp;"[Asset Class]")=acSel))))+SUM(FILTER(INDIRECT("'"&amp;acct&amp;"'!tbl_"&amp;SUBSTITUTE(acct," ","_")&amp;"[Interest Received]"),((acSel="All")+(INDIRECT("'"&amp;acct&amp;"'!tbl_"&amp;SUBSTITUTE(acct," ","_")&amp;"[Asset Class]")=acSel)))),0)))),SUM(BYROW(tblAccounts[Account Name],LAMBDA(acct,IFERROR(SUM(FILTER(INDIRECT("'"&amp;acct&amp;"'!tbl_"&amp;SUBSTITUTE(acct," ","_")&amp;"[Dividends Received]"),((acSel="All")+(INDIRECT("'"&amp;acct&amp;"'!tbl_"&amp;SUBSTITUTE(acct," ","_")&amp;"[Asset Class]")=acSel))*(INDIRECT("'"&amp;acct&amp;"'!tbl_"&amp;SUBSTITUTE(acct,"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Received]"),((acSel="All")+(INDIRECT("'"&amp;acct&amp;"'!tbl_"&amp;SUBSTITUTE(acct," ","_")&amp;"[Asset Class]")=acSel))*(INDIRECT("'"&amp;acct&amp;"'!tbl_"&amp;SUBSTITUTE(acct,"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  <c r="I21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Name],LAMBDA(acct,IFERROR(ROWS(FILTER(INDIRECT("'"&amp;acct&amp;"'!tbl_"&amp;SUBSTITUTE(acct," ","_")&amp;"[Asset Class]"),((acSel="All")+(INDIRECT("'"&amp;acct&amp;"'!tbl_"&amp;SUBSTITUTE(acct," ","_")&amp;"[Asset Class]")=acSel))*(INDIRECT("'"&amp;acct&amp;"'!tbl_"&amp;SUBSTITUTE(acct," ","_")&amp;"[Status]")="Open")*(INDIRECT("'"&amp;acct&amp;"'!tbl_"&amp;SUBSTITUTE(acct,"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23">
      <c r="A23" s="8" t="inlineStr">
        <is>
          <t>PERFORMANCE BY REPORTING PERIOD</t>
        </is>
      </c>
    </row>
    <row r="24">
      <c r="A24" s="11" t="inlineStr">
        <is>
          <t>Metric</t>
        </is>
      </c>
      <c r="B24" s="12" t="inlineStr">
        <is>
          <t>Current Month</t>
        </is>
      </c>
      <c r="C24" s="12" t="inlineStr">
        <is>
          <t>Current Quarter</t>
        </is>
      </c>
      <c r="D24" s="12" t="inlineStr">
        <is>
          <t>Current Year</t>
        </is>
      </c>
      <c r="E24" s="12" t="inlineStr">
        <is>
          <t>Previous Year</t>
        </is>
      </c>
      <c r="F24" s="12" t="inlineStr">
        <is>
          <t>Since Inception</t>
        </is>
      </c>
    </row>
    <row r="25">
      <c r="A25" s="13" t="inlineStr">
        <is>
          <t>Net Asset Value</t>
        </is>
      </c>
      <c r="B25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","_")&amp;"[Value (EUR)]"),((acSel="All")+(INDIRECT("'"&amp;acct&amp;"'!tbl_"&amp;SUBSTITUTE(acct,"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25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","_")&amp;"[Value (EUR)]"),((acSel="All")+(INDIRECT("'"&amp;acct&amp;"'!tbl_"&amp;SUBSTITUTE(acct,"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D25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","_")&amp;"[Value (EUR)]"),((acSel="All")+(INDIRECT("'"&amp;acct&amp;"'!tbl_"&amp;SUBSTITUTE(acct,"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E25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","_")&amp;"[Value (EUR)]"),((acSel="All")+(INDIRECT("'"&amp;acct&amp;"'!tbl_"&amp;SUBSTITUTE(acct,"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25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","_")&amp;"[Value (EUR)]"),((acSel="All")+(INDIRECT("'"&amp;acct&amp;"'!tbl_"&amp;SUBSTITUTE(acct,"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26">
      <c r="A26" s="13" t="inlineStr">
        <is>
          <t>Invested Capital</t>
        </is>
      </c>
      <c r="B26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</f>
        <v/>
      </c>
      <c r="C26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</f>
        <v/>
      </c>
      <c r="D26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</f>
        <v/>
      </c>
      <c r="E26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</f>
        <v/>
      </c>
      <c r="F26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</f>
        <v/>
      </c>
    </row>
    <row r="27">
      <c r="A27" s="13" t="inlineStr">
        <is>
          <t>Unrealized P/L</t>
        </is>
      </c>
      <c r="B27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27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D27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E27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F27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  <row r="28">
      <c r="A28" s="13" t="inlineStr">
        <is>
          <t>Realized P/L</t>
        </is>
      </c>
      <c r="B28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C28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D28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E28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F28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</row>
    <row r="29">
      <c r="A29" s="13" t="inlineStr">
        <is>
          <t>Total Return %</t>
        </is>
      </c>
      <c r="B29" s="15">
        <f>LET(u,LET(pStart,SWITCH("Current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Date]")&gt;pEnd)))),0)))),0)),rl,LET(pStart,SWITCH("Current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Date]")&lt;&gt;""))),0)))),0)),d,LET(pStart,SWITCH("Current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Date]")&lt;=pEnd))),0)))),0)),IFERROR(IF(d=0,0,(u+rl)/d),0))</f>
        <v/>
      </c>
      <c r="C29" s="15">
        <f>LET(u,LET(pStart,SWITCH("Current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Date]")&gt;pEnd)))),0)))),0)),rl,LET(pStart,SWITCH("Current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Date]")&lt;&gt;""))),0)))),0)),d,LET(pStart,SWITCH("Current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Date]")&lt;=pEnd))),0)))),0)),IFERROR(IF(d=0,0,(u+rl)/d),0))</f>
        <v/>
      </c>
      <c r="D29" s="15">
        <f>LET(u,LET(pStart,SWITCH("Current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Date]")&gt;pEnd)))),0)))),0)),rl,LET(pStart,SWITCH("Current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Date]")&lt;&gt;""))),0)))),0)),d,LET(pStart,SWITCH("Current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Date]")&lt;=pEnd))),0)))),0)),IFERROR(IF(d=0,0,(u+rl)/d),0))</f>
        <v/>
      </c>
      <c r="E29" s="15">
        <f>LET(u,LET(pStart,SWITCH("Previous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Date]")&gt;pEnd)))),0)))),0)),rl,LET(pStart,SWITCH("Previous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Date]")&lt;&gt;""))),0)))),0)),d,LET(pStart,SWITCH("Previous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Date]")&lt;=pEnd))),0)))),0)),IFERROR(IF(d=0,0,(u+rl)/d),0))</f>
        <v/>
      </c>
      <c r="F29" s="15">
        <f>LET(u,LET(pStart,SWITCH("Since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Date]")&gt;pEnd)))),0)))),0)),rl,LET(pStart,SWITCH("Since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Date]")&lt;&gt;""))),0)))),0)),d,LET(pStart,SWITCH("Since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Inception",DATE(9999,12,31),DATE(9999,12,31)),acSel,C6,IFERROR(SUM(BYROW(tblAccounts[Account Name],LAMBDA(acct,IFERROR(SUM(FILTER(INDIRECT("'"&amp;acct&amp;"'!tbl_"&amp;SUBSTITUTE(acct," ","_")&amp;"[Total Cost Basis]"),((acSel="All")+(INDIRECT("'"&amp;acct&amp;"'!tbl_"&amp;SUBSTITUTE(acct," ","_")&amp;"[Asset Class]")=acSel))*(INDIRECT("'"&amp;acct&amp;"'!tbl_"&amp;SUBSTITUTE(acct," ","_")&amp;"[Purchase Date]")&gt;=pStart)*(INDIRECT("'"&amp;acct&amp;"'!tbl_"&amp;SUBSTITUTE(acct," ","_")&amp;"[Purchase Date]")&lt;=pEnd))),0)))),0)),IFERROR(IF(d=0,0,(u+rl)/d),0))</f>
        <v/>
      </c>
    </row>
    <row r="31">
      <c r="A31" s="8" t="inlineStr">
        <is>
          <t>ACCOUNT OVERVIEW</t>
        </is>
      </c>
    </row>
    <row r="32">
      <c r="A32" s="11" t="inlineStr">
        <is>
          <t>Account</t>
        </is>
      </c>
      <c r="B32" s="12" t="inlineStr">
        <is>
          <t>Market Value</t>
        </is>
      </c>
      <c r="C32" s="12" t="inlineStr">
        <is>
          <t>Weight</t>
        </is>
      </c>
      <c r="D32" s="12" t="inlineStr">
        <is>
          <t>Unrealized</t>
        </is>
      </c>
      <c r="E32" s="12" t="inlineStr">
        <is>
          <t>Realized</t>
        </is>
      </c>
      <c r="F32" s="12" t="inlineStr">
        <is>
          <t>Income</t>
        </is>
      </c>
      <c r="G32" s="12" t="inlineStr">
        <is>
          <t>Open Pos.</t>
        </is>
      </c>
    </row>
    <row r="33">
      <c r="A33" s="13" t="inlineStr">
        <is>
          <t>Barclays ISA</t>
        </is>
      </c>
      <c r="B33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(EUR)],((acSel="All")+(tbl_Barclays_ISA[Asset Class]=acSel))*heldAtEnd(tbl_Barclays_ISA[Purchase Date],tbl_Barclays_ISA[Sale Date]))),0))</f>
        <v/>
      </c>
      <c r="C33" s="15">
        <f>IFERROR(IF(B35=0,0,B33/B35),0)</f>
        <v/>
      </c>
      <c r="D33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(€)],((acSel="All")+(tbl_Barclays_ISA[Asset Class]=acSel))*heldAtEnd(tbl_Barclays_ISA[Purchase Date],tbl_Barclays_ISA[Sale Date]))),0))</f>
        <v/>
      </c>
      <c r="E33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(€)],((acSel="All")+(tbl_Barclays_ISA[Asset Class]=acSel))*inPeriod(tbl_Barclays_ISA[Sale Date]))),0))</f>
        <v/>
      </c>
      <c r="F33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Received],((acSel="All")+(tbl_Barclays_ISA[Asset Class]=acSel))))+SUM(FILTER(tbl_Barclays_ISA[Interest Received],((acSel="All")+(tbl_Barclays_ISA[Asset Class]=acSel)))),SUM(FILTER(tbl_Barclays_ISA[Dividends Received],((acSel="All")+(tbl_Barclays_ISA[Asset Class]=acSel))*(tbl_Barclays_ISA[Income Date]&gt;=pStart)*(tbl_Barclays_ISA[Income Date]&lt;=pEnd)*(tbl_Barclays_ISA[Income Date]&lt;&gt;"")))+SUM(FILTER(tbl_Barclays_ISA[Interest Received],((acSel="All")+(tbl_Barclays_ISA[Asset Class]=acSel))*(tbl_Barclays_ISA[Income Date]&gt;=pStart)*(tbl_Barclays_ISA[Income Date]&lt;=pEnd)*(tbl_Barclays_ISA[Income Date]&lt;&gt;"")))),0))</f>
        <v/>
      </c>
      <c r="G33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Barclays_ISA[Asset Class],((acSel="All")+(tbl_Barclays_ISA[Asset Class]=acSel))*(tbl_Barclays_ISA[Status]="Open")*heldAtEnd(tbl_Barclays_ISA[Purchase Date],tbl_Barclays_ISA[Sale Date]))),0))</f>
        <v/>
      </c>
    </row>
    <row r="34">
      <c r="A34" s="13" t="inlineStr">
        <is>
          <t>Intesa Sanpaolo</t>
        </is>
      </c>
      <c r="B34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(EUR)],((acSel="All")+(tbl_Intesa_Sanpaolo[Asset Class]=acSel))*heldAtEnd(tbl_Intesa_Sanpaolo[Purchase Date],tbl_Intesa_Sanpaolo[Sale Date]))),0))</f>
        <v/>
      </c>
      <c r="C34" s="15">
        <f>IFERROR(IF(B35=0,0,B34/B35),0)</f>
        <v/>
      </c>
      <c r="D34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(€)],((acSel="All")+(tbl_Intesa_Sanpaolo[Asset Class]=acSel))*heldAtEnd(tbl_Intesa_Sanpaolo[Purchase Date],tbl_Intesa_Sanpaolo[Sale Date]))),0))</f>
        <v/>
      </c>
      <c r="E34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(€)],((acSel="All")+(tbl_Intesa_Sanpaolo[Asset Class]=acSel))*inPeriod(tbl_Intesa_Sanpaolo[Sale Date]))),0))</f>
        <v/>
      </c>
      <c r="F34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Received],((acSel="All")+(tbl_Intesa_Sanpaolo[Asset Class]=acSel))))+SUM(FILTER(tbl_Intesa_Sanpaolo[Interest Received],((acSel="All")+(tbl_Intesa_Sanpaolo[Asset Class]=acSel)))),SUM(FILTER(tbl_Intesa_Sanpaolo[Dividends Received],((acSel="All")+(tbl_Intesa_Sanpaolo[Asset Class]=acSel))*(tbl_Intesa_Sanpaolo[Income Date]&gt;=pStart)*(tbl_Intesa_Sanpaolo[Income Date]&lt;=pEnd)*(tbl_Intesa_Sanpaolo[Income Date]&lt;&gt;"")))+SUM(FILTER(tbl_Intesa_Sanpaolo[Interest Received],((acSel="All")+(tbl_Intesa_Sanpaolo[Asset Class]=acSel))*(tbl_Intesa_Sanpaolo[Income Date]&gt;=pStart)*(tbl_Intesa_Sanpaolo[Income Date]&lt;=pEnd)*(tbl_Intesa_Sanpaolo[Income Date]&lt;&gt;"")))),0))</f>
        <v/>
      </c>
      <c r="G34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Intesa_Sanpaolo[Asset Class],((acSel="All")+(tbl_Intesa_Sanpaolo[Asset Class]=acSel))*(tbl_Intesa_Sanpaolo[Status]="Open")*heldAtEnd(tbl_Intesa_Sanpaolo[Purchase Date],tbl_Intesa_Sanpaolo[Sale Date]))),0))</f>
        <v/>
      </c>
    </row>
    <row r="35">
      <c r="A35" s="17" t="inlineStr">
        <is>
          <t>TOTAL</t>
        </is>
      </c>
      <c r="B3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","_")&amp;"[Value (EUR)]"),((acSel="All")+(INDIRECT("'"&amp;acct&amp;"'!tbl_"&amp;SUBSTITUTE(acct,"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C35" s="15" t="n">
        <v>1</v>
      </c>
      <c r="D3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","_")&amp;"[Unrealized P/L (€)]"),((acSel="All")+(INDIRECT("'"&amp;acct&amp;"'!tbl_"&amp;SUBSTITUTE(acct," ","_")&amp;"[Asset Class]")=acSel))*(INDIRECT("'"&amp;acct&amp;"'!tbl_"&amp;SUBSTITUTE(acct,"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  <c r="E3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Name],LAMBDA(acct,IFERROR(SUM(FILTER(INDIRECT("'"&amp;acct&amp;"'!tbl_"&amp;SUBSTITUTE(acct," ","_")&amp;"[Realized P/L (€)]"),((acSel="All")+(INDIRECT("'"&amp;acct&amp;"'!tbl_"&amp;SUBSTITUTE(acct," ","_")&amp;"[Asset Class]")=acSel))*(INDIRECT("'"&amp;acct&amp;"'!tbl_"&amp;SUBSTITUTE(acct," ","_")&amp;"[Sale Date]")&gt;=pStart)*(INDIRECT("'"&amp;acct&amp;"'!tbl_"&amp;SUBSTITUTE(acct," ","_")&amp;"[Sale Date]")&lt;=pEnd)*(INDIRECT("'"&amp;acct&amp;"'!tbl_"&amp;SUBSTITUTE(acct," ","_")&amp;"[Sale Date]")&lt;&gt;""))),0)))),0))</f>
        <v/>
      </c>
      <c r="F3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Inception",DATE(9999,12,31),"Custom",$C8,DATE(9999,12,31)),IFERROR(IF(pSel="Since Inception",SUM(BYROW(tblAccounts[Account Name],LAMBDA(acct,IFERROR(SUM(FILTER(INDIRECT("'"&amp;acct&amp;"'!tbl_"&amp;SUBSTITUTE(acct," ","_")&amp;"[Dividends Received]"),((acSel="All")+(INDIRECT("'"&amp;acct&amp;"'!tbl_"&amp;SUBSTITUTE(acct," ","_")&amp;"[Asset Class]")=acSel))))+SUM(FILTER(INDIRECT("'"&amp;acct&amp;"'!tbl_"&amp;SUBSTITUTE(acct," ","_")&amp;"[Interest Received]"),((acSel="All")+(INDIRECT("'"&amp;acct&amp;"'!tbl_"&amp;SUBSTITUTE(acct," ","_")&amp;"[Asset Class]")=acSel)))),0)))),SUM(BYROW(tblAccounts[Account Name],LAMBDA(acct,IFERROR(SUM(FILTER(INDIRECT("'"&amp;acct&amp;"'!tbl_"&amp;SUBSTITUTE(acct," ","_")&amp;"[Dividends Received]"),((acSel="All")+(INDIRECT("'"&amp;acct&amp;"'!tbl_"&amp;SUBSTITUTE(acct," ","_")&amp;"[Asset Class]")=acSel))*(INDIRECT("'"&amp;acct&amp;"'!tbl_"&amp;SUBSTITUTE(acct,"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Date]")&lt;&gt;"")))+SUM(FILTER(INDIRECT("'"&amp;acct&amp;"'!tbl_"&amp;SUBSTITUTE(acct," ","_")&amp;"[Interest Received]"),((acSel="All")+(INDIRECT("'"&amp;acct&amp;"'!tbl_"&amp;SUBSTITUTE(acct," ","_")&amp;"[Asset Class]")=acSel))*(INDIRECT("'"&amp;acct&amp;"'!tbl_"&amp;SUBSTITUTE(acct," ","_")&amp;"[Income Date]")&gt;=pStart)*(INDIRECT("'"&amp;acct&amp;"'!tbl_"&amp;SUBSTITUTE(acct," ","_")&amp;"[Income Date]")&lt;=pEnd)*(INDIRECT("'"&amp;acct&amp;"'!tbl_"&amp;SUBSTITUTE(acct," ","_")&amp;"[Income Date]")&lt;&gt;""))),0))))),0))</f>
        <v/>
      </c>
      <c r="G35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Inception",DATE(9999,12,31),"Custom",$C8,DATE(9999,12,31)),IFERROR(SUM(BYROW(tblAccounts[Account Name],LAMBDA(acct,IFERROR(ROWS(FILTER(INDIRECT("'"&amp;acct&amp;"'!tbl_"&amp;SUBSTITUTE(acct," ","_")&amp;"[Asset Class]"),((acSel="All")+(INDIRECT("'"&amp;acct&amp;"'!tbl_"&amp;SUBSTITUTE(acct," ","_")&amp;"[Asset Class]")=acSel))*(INDIRECT("'"&amp;acct&amp;"'!tbl_"&amp;SUBSTITUTE(acct," ","_")&amp;"[Status]")="Open")*(INDIRECT("'"&amp;acct&amp;"'!tbl_"&amp;SUBSTITUTE(acct," ","_")&amp;"[Purchase Date]")&lt;&gt;"")*(INDIRECT("'"&amp;acct&amp;"'!tbl_"&amp;SUBSTITUTE(acct," ","_")&amp;"[Purchase Date]")&lt;=pEnd)*((INDIRECT("'"&amp;acct&amp;"'!tbl_"&amp;SUBSTITUTE(acct," ","_")&amp;"[Sale Date]")="")+(INDIRECT("'"&amp;acct&amp;"'!tbl_"&amp;SUBSTITUTE(acct," ","_")&amp;"[Sale Date]")&gt;pEnd)))),0)))),0))</f>
        <v/>
      </c>
    </row>
  </sheetData>
  <mergeCells count="7">
    <mergeCell ref="A2:F2"/>
    <mergeCell ref="A1:J1"/>
    <mergeCell ref="A31:G31"/>
    <mergeCell ref="A9:J9"/>
    <mergeCell ref="A23:F23"/>
    <mergeCell ref="A3:C3"/>
    <mergeCell ref="A13:J13"/>
  </mergeCells>
  <conditionalFormatting sqref="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1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E1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1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G1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E1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F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G1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E18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F18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G18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E1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1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1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E2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F2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G2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E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F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G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B27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C27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D27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E27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F27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B28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C28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D28"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E28"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F28"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B29"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C29"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D29">
    <cfRule type="cellIs" priority="71" operator="greaterThan" dxfId="0">
      <formula>0</formula>
    </cfRule>
    <cfRule type="cellIs" priority="72" operator="lessThan" dxfId="1">
      <formula>0</formula>
    </cfRule>
  </conditionalFormatting>
  <conditionalFormatting sqref="E29"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F29"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D33"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E33"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D34"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E34">
    <cfRule type="cellIs" priority="83" operator="greaterThan" dxfId="0">
      <formula>0</formula>
    </cfRule>
    <cfRule type="cellIs" priority="84" operator="lessThan" dxfId="1">
      <formula>0</formula>
    </cfRule>
  </conditionalFormatting>
  <dataValidations count="2">
    <dataValidation sqref="C5" showDropDown="0" showInputMessage="0" showErrorMessage="0" allowBlank="0" type="list">
      <formula1>=Config!$C$2:$C$7</formula1>
    </dataValidation>
    <dataValidation sqref="C6" showDropDown="0" showInputMessage="0" showErrorMessage="0" allowBlank="0" type="list">
      <formula1>=Config!$E$2:$E$8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3"/>
  <sheetViews>
    <sheetView showGridLines="0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14" customWidth="1" min="8" max="8"/>
    <col width="15" customWidth="1" min="9" max="9"/>
    <col width="19" customWidth="1" min="10" max="10"/>
    <col width="14" customWidth="1" min="11" max="11"/>
    <col width="21" customWidth="1" min="12" max="12"/>
    <col width="17" customWidth="1" min="13" max="13"/>
    <col width="14" customWidth="1" min="14" max="14"/>
    <col width="21" customWidth="1" min="15" max="15"/>
    <col width="12" customWidth="1" min="16" max="16"/>
    <col width="19" customWidth="1" min="17" max="17"/>
    <col width="19" customWidth="1" min="18" max="18"/>
    <col width="11" customWidth="1" min="19" max="19"/>
    <col width="11" customWidth="1" min="20" max="20"/>
    <col width="11" customWidth="1" min="21" max="21"/>
    <col width="18" customWidth="1" min="22" max="22"/>
    <col width="17" customWidth="1" min="23" max="23"/>
    <col width="17" customWidth="1" min="24" max="24"/>
    <col width="11" customWidth="1" min="25" max="25"/>
    <col width="11" customWidth="1" min="26" max="26"/>
    <col width="12" customWidth="1" min="27" max="27"/>
    <col width="11" customWidth="1" min="28" max="28"/>
    <col width="17" customWidth="1" min="29" max="29"/>
    <col width="21" customWidth="1" min="30" max="30"/>
    <col width="17" customWidth="1" min="31" max="31"/>
    <col width="14" customWidth="1" min="32" max="32"/>
    <col width="18" customWidth="1" min="33" max="33"/>
    <col width="11" customWidth="1" min="34" max="34"/>
    <col width="15" customWidth="1" min="35" max="35"/>
    <col width="19" customWidth="1" min="36" max="36"/>
    <col width="11" customWidth="1" min="37" max="37"/>
    <col width="18" customWidth="1" min="38" max="38"/>
    <col width="11" customWidth="1" min="39" max="39"/>
    <col width="16" customWidth="1" min="40" max="40"/>
    <col width="14" customWidth="1" min="41" max="41"/>
    <col width="18" customWidth="1" min="42" max="42"/>
  </cols>
  <sheetData>
    <row r="1" ht="28" customHeight="1">
      <c r="A1" s="1" t="inlineStr">
        <is>
          <t>ACCOUNT REPORT — BARCLAYS ISA</t>
        </is>
      </c>
    </row>
    <row r="2">
      <c r="A2" s="2" t="inlineStr">
        <is>
          <t>Single-account performance | Master table is the source of truth</t>
        </is>
      </c>
      <c r="H2" t="inlineStr">
        <is>
          <t>As of</t>
        </is>
      </c>
      <c r="I2" s="18">
        <f>TODAY()</f>
        <v/>
      </c>
    </row>
    <row r="3">
      <c r="A3" s="5" t="inlineStr">
        <is>
          <t>REPORTING FILTERS</t>
        </is>
      </c>
    </row>
    <row r="4">
      <c r="A4" s="3" t="inlineStr">
        <is>
          <t>Reporting Period</t>
        </is>
      </c>
      <c r="B4" t="inlineStr"/>
      <c r="C4" s="6" t="inlineStr">
        <is>
          <t>Since Inception</t>
        </is>
      </c>
    </row>
    <row r="5">
      <c r="A5" s="3" t="inlineStr">
        <is>
          <t>Asset Class</t>
        </is>
      </c>
      <c r="B5" t="inlineStr"/>
      <c r="C5" s="6" t="inlineStr">
        <is>
          <t>All</t>
        </is>
      </c>
    </row>
    <row r="6">
      <c r="A6" s="3" t="inlineStr">
        <is>
          <t>Custom Start</t>
        </is>
      </c>
      <c r="B6" t="inlineStr"/>
      <c r="C6" s="7" t="inlineStr"/>
    </row>
    <row r="7">
      <c r="A7" s="3" t="inlineStr">
        <is>
          <t>Custom End</t>
        </is>
      </c>
      <c r="B7" t="inlineStr"/>
      <c r="C7" s="7" t="inlineStr"/>
    </row>
    <row r="9">
      <c r="A9" s="8" t="inlineStr">
        <is>
          <t>ACCOUNT SNAPSHOT</t>
        </is>
      </c>
    </row>
    <row r="10">
      <c r="A10" s="3" t="inlineStr">
        <is>
          <t>Net Asset Value</t>
        </is>
      </c>
      <c r="B10" s="3" t="inlineStr">
        <is>
          <t>Invested Capital</t>
        </is>
      </c>
      <c r="C10" s="3" t="inlineStr">
        <is>
          <t>Unrealized P/L</t>
        </is>
      </c>
      <c r="D10" s="3" t="inlineStr">
        <is>
          <t>Realized P/L</t>
        </is>
      </c>
      <c r="E10" s="3" t="inlineStr">
        <is>
          <t>Cash</t>
        </is>
      </c>
      <c r="F10" s="3" t="inlineStr">
        <is>
          <t>Income</t>
        </is>
      </c>
    </row>
    <row r="11">
      <c r="A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(EUR)],((acSel="All")+(tbl_Barclays_ISA[Asset Class]=acSel))*heldAtEnd(tbl_Barclays_ISA[Purchase Date],tbl_Barclays_ISA[Sale Date]))),0))</f>
        <v/>
      </c>
      <c r="B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Total Cost Basis],((acSel="All")+(tbl_Barclays_ISA[Asset Class]=acSel))*inPeriod(tbl_Barclays_ISA[Purchase Date]))),0))</f>
        <v/>
      </c>
      <c r="C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(€)],((acSel="All")+(tbl_Barclays_ISA[Asset Class]=acSel))*heldAtEnd(tbl_Barclays_ISA[Purchase Date],tbl_Barclays_ISA[Sale Date]))),0))</f>
        <v/>
      </c>
      <c r="D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(€)],((acSel="All")+(tbl_Barclays_ISA[Asset Class]=acSel))*inPeriod(tbl_Barclays_ISA[Sale Date]))),0))</f>
        <v/>
      </c>
      <c r="E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(EUR)],(tbl_Barclays_ISA[Asset Class]="Cash")*heldAtEnd(tbl_Barclays_ISA[Purchase Date],tbl_Barclays_ISA[Sale Date]))),0))</f>
        <v/>
      </c>
      <c r="F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Received],((acSel="All")+(tbl_Barclays_ISA[Asset Class]=acSel))))+SUM(FILTER(tbl_Barclays_ISA[Interest Received],((acSel="All")+(tbl_Barclays_ISA[Asset Class]=acSel)))),SUM(FILTER(tbl_Barclays_ISA[Dividends Received],((acSel="All")+(tbl_Barclays_ISA[Asset Class]=acSel))*(tbl_Barclays_ISA[Income Date]&gt;=pStart)*(tbl_Barclays_ISA[Income Date]&lt;=pEnd)*(tbl_Barclays_ISA[Income Date]&lt;&gt;"")))+SUM(FILTER(tbl_Barclays_ISA[Interest Received],((acSel="All")+(tbl_Barclays_ISA[Asset Class]=acSel))*(tbl_Barclays_ISA[Income Date]&gt;=pStart)*(tbl_Barclays_ISA[Income Date]&lt;=pEnd)*(tbl_Barclays_ISA[Income Date]&lt;&gt;"")))),0))</f>
        <v/>
      </c>
    </row>
    <row r="13">
      <c r="A13" s="8" t="inlineStr">
        <is>
          <t>PERFORMANCE BREAKDOWN BY ASSET CLASS</t>
        </is>
      </c>
    </row>
    <row r="14">
      <c r="A14" s="11" t="inlineStr">
        <is>
          <t>Asset Class</t>
        </is>
      </c>
      <c r="B14" s="12" t="inlineStr">
        <is>
          <t>Market Value</t>
        </is>
      </c>
      <c r="C14" s="12" t="inlineStr">
        <is>
          <t>Weight</t>
        </is>
      </c>
      <c r="D14" s="12" t="inlineStr">
        <is>
          <t>Cost Basis</t>
        </is>
      </c>
      <c r="E14" s="12" t="inlineStr">
        <is>
          <t>Unrealized</t>
        </is>
      </c>
      <c r="F14" s="12" t="inlineStr">
        <is>
          <t>Unrealized %</t>
        </is>
      </c>
      <c r="G14" s="12" t="inlineStr">
        <is>
          <t>Realized</t>
        </is>
      </c>
      <c r="H14" s="12" t="inlineStr">
        <is>
          <t>Income</t>
        </is>
      </c>
      <c r="I14" s="12" t="inlineStr">
        <is>
          <t>Open Pos.</t>
        </is>
      </c>
    </row>
    <row r="15">
      <c r="A15" s="13" t="inlineStr">
        <is>
          <t>Bonds</t>
        </is>
      </c>
      <c r="B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(EUR)],(tbl_Barclays_ISA[Asset Class]="Bonds")*heldAtEnd(tbl_Barclays_ISA[Purchase Date],tbl_Barclays_ISA[Sale Date]))),0))</f>
        <v/>
      </c>
      <c r="C15" s="15">
        <f>IFERROR(IF(B21=0,0,B15/B21),0)</f>
        <v/>
      </c>
      <c r="D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Total Cost Basis],(tbl_Barclays_ISA[Asset Class]="Bonds")*inPeriod(tbl_Barclays_ISA[Purchase Date]))),0))</f>
        <v/>
      </c>
      <c r="E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(€)],(tbl_Barclays_ISA[Asset Class]="Bonds")*heldAtEnd(tbl_Barclays_ISA[Purchase Date],tbl_Barclays_ISA[Sale Date]))),0))</f>
        <v/>
      </c>
      <c r="F15" s="15">
        <f>IFERROR(IF(D15=0,0,E15/D15),0)</f>
        <v/>
      </c>
      <c r="G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(€)],(tbl_Barclays_ISA[Asset Class]="Bonds")*inPeriod(tbl_Barclays_ISA[Sale Date]))),0))</f>
        <v/>
      </c>
      <c r="H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Received],(tbl_Barclays_ISA[Asset Class]="Bonds")))+SUM(FILTER(tbl_Barclays_ISA[Interest Received],(tbl_Barclays_ISA[Asset Class]="Bonds"))),SUM(FILTER(tbl_Barclays_ISA[Dividends Received],(tbl_Barclays_ISA[Asset Class]="Bonds")*(tbl_Barclays_ISA[Income Date]&gt;=pStart)*(tbl_Barclays_ISA[Income Date]&lt;=pEnd)*(tbl_Barclays_ISA[Income Date]&lt;&gt;"")))+SUM(FILTER(tbl_Barclays_ISA[Interest Received],(tbl_Barclays_ISA[Asset Class]="Bonds")*(tbl_Barclays_ISA[Income Date]&gt;=pStart)*(tbl_Barclays_ISA[Income Date]&lt;=pEnd)*(tbl_Barclays_ISA[Income Date]&lt;&gt;"")))),0))</f>
        <v/>
      </c>
      <c r="I15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Barclays_ISA[Asset Class],(tbl_Barclays_ISA[Asset Class]="Bonds")*(tbl_Barclays_ISA[Status]="Open")*heldAtEnd(tbl_Barclays_ISA[Purchase Date],tbl_Barclays_ISA[Sale Date]))),0))</f>
        <v/>
      </c>
    </row>
    <row r="16">
      <c r="A16" s="13" t="inlineStr">
        <is>
          <t>Stocks</t>
        </is>
      </c>
      <c r="B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(EUR)],(tbl_Barclays_ISA[Asset Class]="Stocks")*heldAtEnd(tbl_Barclays_ISA[Purchase Date],tbl_Barclays_ISA[Sale Date]))),0))</f>
        <v/>
      </c>
      <c r="C16" s="15">
        <f>IFERROR(IF(B21=0,0,B16/B21),0)</f>
        <v/>
      </c>
      <c r="D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Total Cost Basis],(tbl_Barclays_ISA[Asset Class]="Stocks")*inPeriod(tbl_Barclays_ISA[Purchase Date]))),0))</f>
        <v/>
      </c>
      <c r="E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(€)],(tbl_Barclays_ISA[Asset Class]="Stocks")*heldAtEnd(tbl_Barclays_ISA[Purchase Date],tbl_Barclays_ISA[Sale Date]))),0))</f>
        <v/>
      </c>
      <c r="F16" s="15">
        <f>IFERROR(IF(D16=0,0,E16/D16),0)</f>
        <v/>
      </c>
      <c r="G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(€)],(tbl_Barclays_ISA[Asset Class]="Stocks")*inPeriod(tbl_Barclays_ISA[Sale Date]))),0))</f>
        <v/>
      </c>
      <c r="H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Received],(tbl_Barclays_ISA[Asset Class]="Stocks")))+SUM(FILTER(tbl_Barclays_ISA[Interest Received],(tbl_Barclays_ISA[Asset Class]="Stocks"))),SUM(FILTER(tbl_Barclays_ISA[Dividends Received],(tbl_Barclays_ISA[Asset Class]="Stocks")*(tbl_Barclays_ISA[Income Date]&gt;=pStart)*(tbl_Barclays_ISA[Income Date]&lt;=pEnd)*(tbl_Barclays_ISA[Income Date]&lt;&gt;"")))+SUM(FILTER(tbl_Barclays_ISA[Interest Received],(tbl_Barclays_ISA[Asset Class]="Stocks")*(tbl_Barclays_ISA[Income Date]&gt;=pStart)*(tbl_Barclays_ISA[Income Date]&lt;=pEnd)*(tbl_Barclays_ISA[Income Date]&lt;&gt;"")))),0))</f>
        <v/>
      </c>
      <c r="I16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Barclays_ISA[Asset Class],(tbl_Barclays_ISA[Asset Class]="Stocks")*(tbl_Barclays_ISA[Status]="Open")*heldAtEnd(tbl_Barclays_ISA[Purchase Date],tbl_Barclays_ISA[Sale Date]))),0))</f>
        <v/>
      </c>
    </row>
    <row r="17">
      <c r="A17" s="13" t="inlineStr">
        <is>
          <t>ETFs</t>
        </is>
      </c>
      <c r="B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(EUR)],(tbl_Barclays_ISA[Asset Class]="ETFs")*heldAtEnd(tbl_Barclays_ISA[Purchase Date],tbl_Barclays_ISA[Sale Date]))),0))</f>
        <v/>
      </c>
      <c r="C17" s="15">
        <f>IFERROR(IF(B21=0,0,B17/B21),0)</f>
        <v/>
      </c>
      <c r="D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Total Cost Basis],(tbl_Barclays_ISA[Asset Class]="ETFs")*inPeriod(tbl_Barclays_ISA[Purchase Date]))),0))</f>
        <v/>
      </c>
      <c r="E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(€)],(tbl_Barclays_ISA[Asset Class]="ETFs")*heldAtEnd(tbl_Barclays_ISA[Purchase Date],tbl_Barclays_ISA[Sale Date]))),0))</f>
        <v/>
      </c>
      <c r="F17" s="15">
        <f>IFERROR(IF(D17=0,0,E17/D17),0)</f>
        <v/>
      </c>
      <c r="G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(€)],(tbl_Barclays_ISA[Asset Class]="ETFs")*inPeriod(tbl_Barclays_ISA[Sale Date]))),0))</f>
        <v/>
      </c>
      <c r="H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Received],(tbl_Barclays_ISA[Asset Class]="ETFs")))+SUM(FILTER(tbl_Barclays_ISA[Interest Received],(tbl_Barclays_ISA[Asset Class]="ETFs"))),SUM(FILTER(tbl_Barclays_ISA[Dividends Received],(tbl_Barclays_ISA[Asset Class]="ETFs")*(tbl_Barclays_ISA[Income Date]&gt;=pStart)*(tbl_Barclays_ISA[Income Date]&lt;=pEnd)*(tbl_Barclays_ISA[Income Date]&lt;&gt;"")))+SUM(FILTER(tbl_Barclays_ISA[Interest Received],(tbl_Barclays_ISA[Asset Class]="ETFs")*(tbl_Barclays_ISA[Income Date]&gt;=pStart)*(tbl_Barclays_ISA[Income Date]&lt;=pEnd)*(tbl_Barclays_ISA[Income Date]&lt;&gt;"")))),0))</f>
        <v/>
      </c>
      <c r="I17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Barclays_ISA[Asset Class],(tbl_Barclays_ISA[Asset Class]="ETFs")*(tbl_Barclays_ISA[Status]="Open")*heldAtEnd(tbl_Barclays_ISA[Purchase Date],tbl_Barclays_ISA[Sale Date]))),0))</f>
        <v/>
      </c>
    </row>
    <row r="18">
      <c r="A18" s="13" t="inlineStr">
        <is>
          <t>Funds</t>
        </is>
      </c>
      <c r="B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(EUR)],(tbl_Barclays_ISA[Asset Class]="Funds")*heldAtEnd(tbl_Barclays_ISA[Purchase Date],tbl_Barclays_ISA[Sale Date]))),0))</f>
        <v/>
      </c>
      <c r="C18" s="15">
        <f>IFERROR(IF(B21=0,0,B18/B21),0)</f>
        <v/>
      </c>
      <c r="D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Total Cost Basis],(tbl_Barclays_ISA[Asset Class]="Funds")*inPeriod(tbl_Barclays_ISA[Purchase Date]))),0))</f>
        <v/>
      </c>
      <c r="E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(€)],(tbl_Barclays_ISA[Asset Class]="Funds")*heldAtEnd(tbl_Barclays_ISA[Purchase Date],tbl_Barclays_ISA[Sale Date]))),0))</f>
        <v/>
      </c>
      <c r="F18" s="15">
        <f>IFERROR(IF(D18=0,0,E18/D18),0)</f>
        <v/>
      </c>
      <c r="G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(€)],(tbl_Barclays_ISA[Asset Class]="Funds")*inPeriod(tbl_Barclays_ISA[Sale Date]))),0))</f>
        <v/>
      </c>
      <c r="H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Received],(tbl_Barclays_ISA[Asset Class]="Funds")))+SUM(FILTER(tbl_Barclays_ISA[Interest Received],(tbl_Barclays_ISA[Asset Class]="Funds"))),SUM(FILTER(tbl_Barclays_ISA[Dividends Received],(tbl_Barclays_ISA[Asset Class]="Funds")*(tbl_Barclays_ISA[Income Date]&gt;=pStart)*(tbl_Barclays_ISA[Income Date]&lt;=pEnd)*(tbl_Barclays_ISA[Income Date]&lt;&gt;"")))+SUM(FILTER(tbl_Barclays_ISA[Interest Received],(tbl_Barclays_ISA[Asset Class]="Funds")*(tbl_Barclays_ISA[Income Date]&gt;=pStart)*(tbl_Barclays_ISA[Income Date]&lt;=pEnd)*(tbl_Barclays_ISA[Income Date]&lt;&gt;"")))),0))</f>
        <v/>
      </c>
      <c r="I18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Barclays_ISA[Asset Class],(tbl_Barclays_ISA[Asset Class]="Funds")*(tbl_Barclays_ISA[Status]="Open")*heldAtEnd(tbl_Barclays_ISA[Purchase Date],tbl_Barclays_ISA[Sale Date]))),0))</f>
        <v/>
      </c>
    </row>
    <row r="19">
      <c r="A19" s="13" t="inlineStr">
        <is>
          <t>Cash</t>
        </is>
      </c>
      <c r="B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(EUR)],(tbl_Barclays_ISA[Asset Class]="Cash")*heldAtEnd(tbl_Barclays_ISA[Purchase Date],tbl_Barclays_ISA[Sale Date]))),0))</f>
        <v/>
      </c>
      <c r="C19" s="15">
        <f>IFERROR(IF(B21=0,0,B19/B21),0)</f>
        <v/>
      </c>
      <c r="D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Total Cost Basis],(tbl_Barclays_ISA[Asset Class]="Cash")*inPeriod(tbl_Barclays_ISA[Purchase Date]))),0))</f>
        <v/>
      </c>
      <c r="E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(€)],(tbl_Barclays_ISA[Asset Class]="Cash")*heldAtEnd(tbl_Barclays_ISA[Purchase Date],tbl_Barclays_ISA[Sale Date]))),0))</f>
        <v/>
      </c>
      <c r="F19" s="15">
        <f>IFERROR(IF(D19=0,0,E19/D19),0)</f>
        <v/>
      </c>
      <c r="G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(€)],(tbl_Barclays_ISA[Asset Class]="Cash")*inPeriod(tbl_Barclays_ISA[Sale Date]))),0))</f>
        <v/>
      </c>
      <c r="H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Received],(tbl_Barclays_ISA[Asset Class]="Cash")))+SUM(FILTER(tbl_Barclays_ISA[Interest Received],(tbl_Barclays_ISA[Asset Class]="Cash"))),SUM(FILTER(tbl_Barclays_ISA[Dividends Received],(tbl_Barclays_ISA[Asset Class]="Cash")*(tbl_Barclays_ISA[Income Date]&gt;=pStart)*(tbl_Barclays_ISA[Income Date]&lt;=pEnd)*(tbl_Barclays_ISA[Income Date]&lt;&gt;"")))+SUM(FILTER(tbl_Barclays_ISA[Interest Received],(tbl_Barclays_ISA[Asset Class]="Cash")*(tbl_Barclays_ISA[Income Date]&gt;=pStart)*(tbl_Barclays_ISA[Income Date]&lt;=pEnd)*(tbl_Barclays_ISA[Income Date]&lt;&gt;"")))),0))</f>
        <v/>
      </c>
      <c r="I19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Barclays_ISA[Asset Class],(tbl_Barclays_ISA[Asset Class]="Cash")*(tbl_Barclays_ISA[Status]="Open")*heldAtEnd(tbl_Barclays_ISA[Purchase Date],tbl_Barclays_ISA[Sale Date]))),0))</f>
        <v/>
      </c>
    </row>
    <row r="20">
      <c r="A20" s="13" t="inlineStr">
        <is>
          <t>Other</t>
        </is>
      </c>
      <c r="B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(EUR)],(tbl_Barclays_ISA[Asset Class]="Other")*heldAtEnd(tbl_Barclays_ISA[Purchase Date],tbl_Barclays_ISA[Sale Date]))),0))</f>
        <v/>
      </c>
      <c r="C20" s="15">
        <f>IFERROR(IF(B21=0,0,B20/B21),0)</f>
        <v/>
      </c>
      <c r="D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Total Cost Basis],(tbl_Barclays_ISA[Asset Class]="Other")*inPeriod(tbl_Barclays_ISA[Purchase Date]))),0))</f>
        <v/>
      </c>
      <c r="E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(€)],(tbl_Barclays_ISA[Asset Class]="Other")*heldAtEnd(tbl_Barclays_ISA[Purchase Date],tbl_Barclays_ISA[Sale Date]))),0))</f>
        <v/>
      </c>
      <c r="F20" s="15">
        <f>IFERROR(IF(D20=0,0,E20/D20),0)</f>
        <v/>
      </c>
      <c r="G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(€)],(tbl_Barclays_ISA[Asset Class]="Other")*inPeriod(tbl_Barclays_ISA[Sale Date]))),0))</f>
        <v/>
      </c>
      <c r="H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Received],(tbl_Barclays_ISA[Asset Class]="Other")))+SUM(FILTER(tbl_Barclays_ISA[Interest Received],(tbl_Barclays_ISA[Asset Class]="Other"))),SUM(FILTER(tbl_Barclays_ISA[Dividends Received],(tbl_Barclays_ISA[Asset Class]="Other")*(tbl_Barclays_ISA[Income Date]&gt;=pStart)*(tbl_Barclays_ISA[Income Date]&lt;=pEnd)*(tbl_Barclays_ISA[Income Date]&lt;&gt;"")))+SUM(FILTER(tbl_Barclays_ISA[Interest Received],(tbl_Barclays_ISA[Asset Class]="Other")*(tbl_Barclays_ISA[Income Date]&gt;=pStart)*(tbl_Barclays_ISA[Income Date]&lt;=pEnd)*(tbl_Barclays_ISA[Income Date]&lt;&gt;"")))),0))</f>
        <v/>
      </c>
      <c r="I20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Barclays_ISA[Asset Class],(tbl_Barclays_ISA[Asset Class]="Other")*(tbl_Barclays_ISA[Status]="Open")*heldAtEnd(tbl_Barclays_ISA[Purchase Date],tbl_Barclays_ISA[Sale Date]))),0))</f>
        <v/>
      </c>
    </row>
    <row r="21">
      <c r="A21" s="17" t="inlineStr">
        <is>
          <t>TOTAL</t>
        </is>
      </c>
      <c r="B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Value (EUR)],((acSel="All")+(tbl_Barclays_ISA[Asset Class]=acSel))*heldAtEnd(tbl_Barclays_ISA[Purchase Date],tbl_Barclays_ISA[Sale Date]))),0))</f>
        <v/>
      </c>
      <c r="C21" s="15" t="n">
        <v>1</v>
      </c>
      <c r="D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Total Cost Basis],((acSel="All")+(tbl_Barclays_ISA[Asset Class]=acSel))*inPeriod(tbl_Barclays_ISA[Purchase Date]))),0))</f>
        <v/>
      </c>
      <c r="E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Unrealized P/L (€)],((acSel="All")+(tbl_Barclays_ISA[Asset Class]=acSel))*heldAtEnd(tbl_Barclays_ISA[Purchase Date],tbl_Barclays_ISA[Sale Date]))),0))</f>
        <v/>
      </c>
      <c r="F21" s="15">
        <f>IFERROR(IF(D21=0,0,E21/D21),0)</f>
        <v/>
      </c>
      <c r="G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Barclays_ISA[Realized P/L (€)],((acSel="All")+(tbl_Barclays_ISA[Asset Class]=acSel))*inPeriod(tbl_Barclays_ISA[Sale Date]))),0))</f>
        <v/>
      </c>
      <c r="H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Inception",SUM(FILTER(tbl_Barclays_ISA[Dividends Received],((acSel="All")+(tbl_Barclays_ISA[Asset Class]=acSel))))+SUM(FILTER(tbl_Barclays_ISA[Interest Received],((acSel="All")+(tbl_Barclays_ISA[Asset Class]=acSel)))),SUM(FILTER(tbl_Barclays_ISA[Dividends Received],((acSel="All")+(tbl_Barclays_ISA[Asset Class]=acSel))*(tbl_Barclays_ISA[Income Date]&gt;=pStart)*(tbl_Barclays_ISA[Income Date]&lt;=pEnd)*(tbl_Barclays_ISA[Income Date]&lt;&gt;"")))+SUM(FILTER(tbl_Barclays_ISA[Interest Received],((acSel="All")+(tbl_Barclays_ISA[Asset Class]=acSel))*(tbl_Barclays_ISA[Income Date]&gt;=pStart)*(tbl_Barclays_ISA[Income Date]&lt;=pEnd)*(tbl_Barclays_ISA[Income Date]&lt;&gt;"")))),0))</f>
        <v/>
      </c>
      <c r="I21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Barclays_ISA[Asset Class],((acSel="All")+(tbl_Barclays_ISA[Asset Class]=acSel))*(tbl_Barclays_ISA[Status]="Open")*heldAtEnd(tbl_Barclays_ISA[Purchase Date],tbl_Barclays_ISA[Sale Date]))),0))</f>
        <v/>
      </c>
    </row>
    <row r="23">
      <c r="A23" s="8" t="inlineStr">
        <is>
          <t>PERFORMANCE BY REPORTING PERIOD</t>
        </is>
      </c>
    </row>
    <row r="24">
      <c r="A24" s="11" t="inlineStr">
        <is>
          <t>Metric</t>
        </is>
      </c>
      <c r="B24" s="12" t="inlineStr">
        <is>
          <t>Current Month</t>
        </is>
      </c>
      <c r="C24" s="12" t="inlineStr">
        <is>
          <t>Current Quarter</t>
        </is>
      </c>
      <c r="D24" s="12" t="inlineStr">
        <is>
          <t>Current Year</t>
        </is>
      </c>
      <c r="E24" s="12" t="inlineStr">
        <is>
          <t>Previous Year</t>
        </is>
      </c>
      <c r="F24" s="12" t="inlineStr">
        <is>
          <t>Since Inception</t>
        </is>
      </c>
    </row>
    <row r="25">
      <c r="A25" s="13" t="inlineStr">
        <is>
          <t>Net Asset Value</t>
        </is>
      </c>
      <c r="B25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Inception",DATE(9999,12,31),DATE(9999,12,31)),acSel,C6,heldAtEnd,LAMBDA(pd,sd,(pd&lt;&gt;"")*(pd&lt;=pEnd)*((sd="")+(sd&gt;pEnd))),inPeriod,LAMBDA(dt,(dt&lt;&gt;"")*(dt&gt;=pStart)*(dt&lt;=pEnd)),IFERROR(SUM(FILTER(tbl_Barclays_ISA[Value (EUR)],((acSel="All")+(tbl_Barclays_ISA[Asset Class]=acSel))*heldAtEnd(tbl_Barclays_ISA[Purchase Date],tbl_Barclays_ISA[Sale Date]))),0))</f>
        <v/>
      </c>
      <c r="C25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Inception",DATE(9999,12,31),DATE(9999,12,31)),acSel,C6,heldAtEnd,LAMBDA(pd,sd,(pd&lt;&gt;"")*(pd&lt;=pEnd)*((sd="")+(sd&gt;pEnd))),inPeriod,LAMBDA(dt,(dt&lt;&gt;"")*(dt&gt;=pStart)*(dt&lt;=pEnd)),IFERROR(SUM(FILTER(tbl_Barclays_ISA[Value (EUR)],((acSel="All")+(tbl_Barclays_ISA[Asset Class]=acSel))*heldAtEnd(tbl_Barclays_ISA[Purchase Date],tbl_Barclays_ISA[Sale Date]))),0))</f>
        <v/>
      </c>
      <c r="D25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Inception",DATE(9999,12,31),DATE(9999,12,31)),acSel,C6,heldAtEnd,LAMBDA(pd,sd,(pd&lt;&gt;"")*(pd&lt;=pEnd)*((sd="")+(sd&gt;pEnd))),inPeriod,LAMBDA(dt,(dt&lt;&gt;"")*(dt&gt;=pStart)*(dt&lt;=pEnd)),IFERROR(SUM(FILTER(tbl_Barclays_ISA[Value (EUR)],((acSel="All")+(tbl_Barclays_ISA[Asset Class]=acSel))*heldAtEnd(tbl_Barclays_ISA[Purchase Date],tbl_Barclays_ISA[Sale Date]))),0))</f>
        <v/>
      </c>
      <c r="E25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Inception",DATE(9999,12,31),DATE(9999,12,31)),acSel,C6,heldAtEnd,LAMBDA(pd,sd,(pd&lt;&gt;"")*(pd&lt;=pEnd)*((sd="")+(sd&gt;pEnd))),inPeriod,LAMBDA(dt,(dt&lt;&gt;"")*(dt&gt;=pStart)*(dt&lt;=pEnd)),IFERROR(SUM(FILTER(tbl_Barclays_ISA[Value (EUR)],((acSel="All")+(tbl_Barclays_ISA[Asset Class]=acSel))*heldAtEnd(tbl_Barclays_ISA[Purchase Date],tbl_Barclays_ISA[Sale Date]))),0))</f>
        <v/>
      </c>
      <c r="F25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Inception",DATE(9999,12,31),DATE(9999,12,31)),acSel,C6,heldAtEnd,LAMBDA(pd,sd,(pd&lt;&gt;"")*(pd&lt;=pEnd)*((sd="")+(sd&gt;pEnd))),inPeriod,LAMBDA(dt,(dt&lt;&gt;"")*(dt&gt;=pStart)*(dt&lt;=pEnd)),IFERROR(SUM(FILTER(tbl_Barclays_ISA[Value (EUR)],((acSel="All")+(tbl_Barclays_ISA[Asset Class]=acSel))*heldAtEnd(tbl_Barclays_ISA[Purchase Date],tbl_Barclays_ISA[Sale Date]))),0))</f>
        <v/>
      </c>
    </row>
    <row r="26">
      <c r="A26" s="13" t="inlineStr">
        <is>
          <t>Invested Capital</t>
        </is>
      </c>
      <c r="B26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</f>
        <v/>
      </c>
      <c r="C26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</f>
        <v/>
      </c>
      <c r="D26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</f>
        <v/>
      </c>
      <c r="E26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</f>
        <v/>
      </c>
      <c r="F26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</f>
        <v/>
      </c>
    </row>
    <row r="27">
      <c r="A27" s="13" t="inlineStr">
        <is>
          <t>Unrealized P/L</t>
        </is>
      </c>
      <c r="B27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</f>
        <v/>
      </c>
      <c r="C27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</f>
        <v/>
      </c>
      <c r="D27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</f>
        <v/>
      </c>
      <c r="E27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</f>
        <v/>
      </c>
      <c r="F27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</f>
        <v/>
      </c>
    </row>
    <row r="28">
      <c r="A28" s="13" t="inlineStr">
        <is>
          <t>Realized P/L</t>
        </is>
      </c>
      <c r="B28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</f>
        <v/>
      </c>
      <c r="C28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</f>
        <v/>
      </c>
      <c r="D28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</f>
        <v/>
      </c>
      <c r="E28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</f>
        <v/>
      </c>
      <c r="F28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</f>
        <v/>
      </c>
    </row>
    <row r="29">
      <c r="A29" s="13" t="inlineStr">
        <is>
          <t>Total Return %</t>
        </is>
      </c>
      <c r="B29" s="15">
        <f>LET(u,LET(pStart,SWITCH("Current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Date]))),0)),rl,LET(pStart,SWITCH("Current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Date]))),0)),d,LET(pStart,SWITCH("Current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Date]))),0)),IFERROR(IF(d=0,0,(u+rl)/d),0))</f>
        <v/>
      </c>
      <c r="C29" s="15">
        <f>LET(u,LET(pStart,SWITCH("Current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Date]))),0)),rl,LET(pStart,SWITCH("Current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Date]))),0)),d,LET(pStart,SWITCH("Current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Date]))),0)),IFERROR(IF(d=0,0,(u+rl)/d),0))</f>
        <v/>
      </c>
      <c r="D29" s="15">
        <f>LET(u,LET(pStart,SWITCH("Current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Date]))),0)),rl,LET(pStart,SWITCH("Current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Date]))),0)),d,LET(pStart,SWITCH("Current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Date]))),0)),IFERROR(IF(d=0,0,(u+rl)/d),0))</f>
        <v/>
      </c>
      <c r="E29" s="15">
        <f>LET(u,LET(pStart,SWITCH("Previous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Date]))),0)),rl,LET(pStart,SWITCH("Previous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Date]))),0)),d,LET(pStart,SWITCH("Previous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Date]))),0)),IFERROR(IF(d=0,0,(u+rl)/d),0))</f>
        <v/>
      </c>
      <c r="F29" s="15">
        <f>LET(u,LET(pStart,SWITCH("Since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Inception",DATE(9999,12,31),DATE(9999,12,31)),acSel,C6,heldAtEnd,LAMBDA(pd,sd,(pd&lt;&gt;"")*(pd&lt;=pEnd)*((sd="")+(sd&gt;pEnd))),inPeriod,LAMBDA(dt,(dt&lt;&gt;"")*(dt&gt;=pStart)*(dt&lt;=pEnd)),IFERROR(SUM(FILTER(tbl_Barclays_ISA[Unrealized P/L (€)],((acSel="All")+(tbl_Barclays_ISA[Asset Class]=acSel))*heldAtEnd(tbl_Barclays_ISA[Purchase Date],tbl_Barclays_ISA[Sale Date]))),0)),rl,LET(pStart,SWITCH("Since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Inception",DATE(9999,12,31),DATE(9999,12,31)),acSel,C6,heldAtEnd,LAMBDA(pd,sd,(pd&lt;&gt;"")*(pd&lt;=pEnd)*((sd="")+(sd&gt;pEnd))),inPeriod,LAMBDA(dt,(dt&lt;&gt;"")*(dt&gt;=pStart)*(dt&lt;=pEnd)),IFERROR(SUM(FILTER(tbl_Barclays_ISA[Realized P/L (€)],((acSel="All")+(tbl_Barclays_ISA[Asset Class]=acSel))*inPeriod(tbl_Barclays_ISA[Sale Date]))),0)),d,LET(pStart,SWITCH("Since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Inception",DATE(9999,12,31),DATE(9999,12,31)),acSel,C6,heldAtEnd,LAMBDA(pd,sd,(pd&lt;&gt;"")*(pd&lt;=pEnd)*((sd="")+(sd&gt;pEnd))),inPeriod,LAMBDA(dt,(dt&lt;&gt;"")*(dt&gt;=pStart)*(dt&lt;=pEnd)),IFERROR(SUM(FILTER(tbl_Barclays_ISA[Total Cost Basis],((acSel="All")+(tbl_Barclays_ISA[Asset Class]=acSel))*inPeriod(tbl_Barclays_ISA[Purchase Date]))),0)),IFERROR(IF(d=0,0,(u+rl)/d),0))</f>
        <v/>
      </c>
    </row>
    <row r="46">
      <c r="A46" s="5" t="inlineStr">
        <is>
          <t>MASTER INVESTMENT TABLE</t>
        </is>
      </c>
    </row>
    <row r="47">
      <c r="A47" s="3" t="inlineStr">
        <is>
          <t>Single source of truth for this account — all metrics above are formula-linked to this table.</t>
        </is>
      </c>
    </row>
    <row r="48">
      <c r="A48" s="20" t="inlineStr">
        <is>
          <t>Asset Class</t>
        </is>
      </c>
      <c r="B48" s="20" t="inlineStr">
        <is>
          <t>ISIN</t>
        </is>
      </c>
      <c r="C48" s="20" t="inlineStr">
        <is>
          <t>Ticker</t>
        </is>
      </c>
      <c r="D48" s="20" t="inlineStr">
        <is>
          <t>Security Name</t>
        </is>
      </c>
      <c r="E48" s="20" t="inlineStr">
        <is>
          <t>Issuer</t>
        </is>
      </c>
      <c r="F48" s="20" t="inlineStr">
        <is>
          <t>Currency</t>
        </is>
      </c>
      <c r="G48" s="20" t="inlineStr">
        <is>
          <t>FX to EUR</t>
        </is>
      </c>
      <c r="H48" s="20" t="inlineStr">
        <is>
          <t>Purchase Date</t>
        </is>
      </c>
      <c r="I48" s="20" t="inlineStr">
        <is>
          <t>Purchase Price</t>
        </is>
      </c>
      <c r="J48" s="20" t="inlineStr">
        <is>
          <t>Quantity / Nominal</t>
        </is>
      </c>
      <c r="K48" s="20" t="inlineStr">
        <is>
          <t>Purchase Fees</t>
        </is>
      </c>
      <c r="L48" s="20" t="inlineStr">
        <is>
          <t>Other Purchase Costs</t>
        </is>
      </c>
      <c r="M48" s="20" t="inlineStr">
        <is>
          <t>Total Cost Basis</t>
        </is>
      </c>
      <c r="N48" s="20" t="inlineStr">
        <is>
          <t>Current Price</t>
        </is>
      </c>
      <c r="O48" s="20" t="inlineStr">
        <is>
          <t>Current Market Value</t>
        </is>
      </c>
      <c r="P48" s="20" t="inlineStr">
        <is>
          <t>Value (EUR)</t>
        </is>
      </c>
      <c r="Q48" s="20" t="inlineStr">
        <is>
          <t>Unrealized P/L (€)</t>
        </is>
      </c>
      <c r="R48" s="20" t="inlineStr">
        <is>
          <t>Unrealized P/L (%)</t>
        </is>
      </c>
      <c r="S48" s="20" t="inlineStr">
        <is>
          <t>Sale Date</t>
        </is>
      </c>
      <c r="T48" s="20" t="inlineStr">
        <is>
          <t>Sale Price</t>
        </is>
      </c>
      <c r="U48" s="20" t="inlineStr">
        <is>
          <t>Sale Fees</t>
        </is>
      </c>
      <c r="V48" s="20" t="inlineStr">
        <is>
          <t>Net Sale Proceeds</t>
        </is>
      </c>
      <c r="W48" s="20" t="inlineStr">
        <is>
          <t>Realized P/L (€)</t>
        </is>
      </c>
      <c r="X48" s="20" t="inlineStr">
        <is>
          <t>Realized P/L (%)</t>
        </is>
      </c>
      <c r="Y48" s="20" t="inlineStr">
        <is>
          <t>Status</t>
        </is>
      </c>
      <c r="Z48" s="20" t="inlineStr">
        <is>
          <t>Notes</t>
        </is>
      </c>
      <c r="AA48" s="20" t="inlineStr">
        <is>
          <t>Income Date</t>
        </is>
      </c>
      <c r="AB48" s="20" t="inlineStr">
        <is>
          <t>Coupon %</t>
        </is>
      </c>
      <c r="AC48" s="20" t="inlineStr">
        <is>
          <t>Coupon Frequency</t>
        </is>
      </c>
      <c r="AD48" s="20" t="inlineStr">
        <is>
          <t>Coupon Payment Dates</t>
        </is>
      </c>
      <c r="AE48" s="20" t="inlineStr">
        <is>
          <t>Coupons Received</t>
        </is>
      </c>
      <c r="AF48" s="20" t="inlineStr">
        <is>
          <t>Maturity Date</t>
        </is>
      </c>
      <c r="AG48" s="20" t="inlineStr">
        <is>
          <t>Yield to Maturity</t>
        </is>
      </c>
      <c r="AH48" s="20" t="inlineStr">
        <is>
          <t>Duration</t>
        </is>
      </c>
      <c r="AI48" s="20" t="inlineStr">
        <is>
          <t>Dividend Yield</t>
        </is>
      </c>
      <c r="AJ48" s="20" t="inlineStr">
        <is>
          <t>Dividends Received</t>
        </is>
      </c>
      <c r="AK48" s="20" t="inlineStr">
        <is>
          <t>Exchange</t>
        </is>
      </c>
      <c r="AL48" s="20" t="inlineStr">
        <is>
          <t>Distribution Type</t>
        </is>
      </c>
      <c r="AM48" s="20" t="inlineStr">
        <is>
          <t>TER</t>
        </is>
      </c>
      <c r="AN48" s="20" t="inlineStr">
        <is>
          <t>Benchmark Index</t>
        </is>
      </c>
      <c r="AO48" s="20" t="inlineStr">
        <is>
          <t>Interest Rate</t>
        </is>
      </c>
      <c r="AP48" s="20" t="inlineStr">
        <is>
          <t>Interest Received</t>
        </is>
      </c>
    </row>
    <row r="49">
      <c r="A49" t="inlineStr">
        <is>
          <t>Bonds</t>
        </is>
      </c>
      <c r="B49" t="inlineStr">
        <is>
          <t>GB00B3KJDS62</t>
        </is>
      </c>
      <c r="C49" t="inlineStr">
        <is>
          <t>GILT 39</t>
        </is>
      </c>
      <c r="D49" t="inlineStr">
        <is>
          <t>UK (GOVT OF) 4.25% Gilt 07/09/39</t>
        </is>
      </c>
      <c r="E49" t="inlineStr">
        <is>
          <t>UK Government</t>
        </is>
      </c>
      <c r="F49" t="inlineStr">
        <is>
          <t>GBP</t>
        </is>
      </c>
      <c r="G49" t="n">
        <v>1.17</v>
      </c>
      <c r="H49" s="18" t="inlineStr">
        <is>
          <t>2024-11-12</t>
        </is>
      </c>
      <c r="I49" s="21" t="n">
        <v>92.5</v>
      </c>
      <c r="J49" s="21" t="n">
        <v>10000</v>
      </c>
      <c r="K49" s="21" t="n">
        <v>12.5</v>
      </c>
      <c r="L49" s="21" t="n">
        <v>0</v>
      </c>
      <c r="M49" s="21">
        <f>IF([@Asset Class]="Bonds",[@[Quantity / Nominal]]*[@[Purchase Price]]/100,[@[Quantity / Nominal]]*[@[Purchase Price]])+[@[Purchase Fees]]+[@[Other Purchase Costs]]</f>
        <v/>
      </c>
      <c r="N49" s="21" t="n">
        <v>93.8</v>
      </c>
      <c r="O49" s="21">
        <f>IF([@Status]="Open",IF([@Asset Class]="Bonds",[@[Quantity / Nominal]]*[@[Current Price]]/100,[@[Quantity / Nominal]]*[@[Current Price]]),0)</f>
        <v/>
      </c>
      <c r="P49" s="21">
        <f>IF([@Status]="Open",[@[Current Market Value]]*IF([@[FX to EUR]]="",1,[@[FX to EUR]]),0)</f>
        <v/>
      </c>
      <c r="Q49" s="21">
        <f>IF([@Status]="Open",[@[Value (EUR)]]-[@[Total Cost Basis]]*IF([@[FX to EUR]]="",1,[@[FX to EUR]]),0)</f>
        <v/>
      </c>
      <c r="R49" s="22">
        <f>IF([@[Total Cost Basis]]=0,0,IF([@Status]="Open",[@[Unrealized P/L (€)]]/([@[Total Cost Basis]]*IF([@[FX to EUR]]="",1,[@[FX to EUR]])),0))</f>
        <v/>
      </c>
      <c r="S49" s="18" t="n"/>
      <c r="T49" s="21" t="n"/>
      <c r="U49" s="21" t="n"/>
      <c r="V49" s="21">
        <f>IF([@Status]="Closed",IF([@Asset Class]="Bonds",[@[Quantity / Nominal]]*[@[Sale Price]]/100,[@[Quantity / Nominal]]*[@[Sale Price]])-[@[Sale Fees]],0)</f>
        <v/>
      </c>
      <c r="W49" s="21">
        <f>IF([@Status]="Closed",[@[Net Sale Proceeds]]-[@[Total Cost Basis]]*IF([@[FX to EUR]]="",1,[@[FX to EUR]]),0)</f>
        <v/>
      </c>
      <c r="X49" s="22">
        <f>IF([@[Total Cost Basis]]=0,0,IF([@Status]="Closed",[@[Realized P/L (€)]]/([@[Total Cost Basis]]*IF([@[FX to EUR]]="",1,[@[FX to EUR]])),0))</f>
        <v/>
      </c>
      <c r="Y49">
        <f>IF([@[Sale Date]]="","Open","Closed")</f>
        <v/>
      </c>
      <c r="Z49" t="inlineStr">
        <is>
          <t>Da estratto Barclays ISA ID1901366-001 — aggiornare prezzo/FX</t>
        </is>
      </c>
      <c r="AA49" s="18" t="n"/>
      <c r="AB49" s="22" t="n">
        <v>0.0425</v>
      </c>
      <c r="AC49" t="inlineStr">
        <is>
          <t>Semi-Annual</t>
        </is>
      </c>
      <c r="AD49" s="18" t="n"/>
      <c r="AE49" s="21" t="n"/>
      <c r="AF49" s="18" t="inlineStr">
        <is>
          <t>2039-09-07</t>
        </is>
      </c>
      <c r="AG49" s="22" t="n"/>
      <c r="AH49" s="21" t="n"/>
      <c r="AI49" s="22" t="n"/>
      <c r="AJ49" s="21" t="n"/>
      <c r="AM49" s="22" t="n"/>
      <c r="AO49" s="22" t="n"/>
      <c r="AP49" s="21" t="n"/>
    </row>
    <row r="50">
      <c r="A50" t="inlineStr">
        <is>
          <t>Funds</t>
        </is>
      </c>
      <c r="B50" t="inlineStr">
        <is>
          <t>LU1829219392</t>
        </is>
      </c>
      <c r="C50" t="inlineStr">
        <is>
          <t>LUXG</t>
        </is>
      </c>
      <c r="D50" t="inlineStr">
        <is>
          <t>Amundi S&amp;P Global Luxury</t>
        </is>
      </c>
      <c r="E50" t="inlineStr">
        <is>
          <t>Amundi</t>
        </is>
      </c>
      <c r="F50" t="inlineStr">
        <is>
          <t>EUR</t>
        </is>
      </c>
      <c r="G50" t="n">
        <v>1</v>
      </c>
      <c r="H50" s="18" t="inlineStr">
        <is>
          <t>2023-05-18</t>
        </is>
      </c>
      <c r="I50" s="21" t="n">
        <v>118.4</v>
      </c>
      <c r="J50" s="21" t="n">
        <v>45</v>
      </c>
      <c r="K50" s="21" t="n">
        <v>0</v>
      </c>
      <c r="L50" s="21" t="n">
        <v>0</v>
      </c>
      <c r="M50" s="21">
        <f>IF([@Asset Class]="Bonds",[@[Quantity / Nominal]]*[@[Purchase Price]]/100,[@[Quantity / Nominal]]*[@[Purchase Price]])+[@[Purchase Fees]]+[@[Other Purchase Costs]]</f>
        <v/>
      </c>
      <c r="N50" s="21" t="n">
        <v>132.6</v>
      </c>
      <c r="O50" s="21">
        <f>IF([@Status]="Open",IF([@Asset Class]="Bonds",[@[Quantity / Nominal]]*[@[Current Price]]/100,[@[Quantity / Nominal]]*[@[Current Price]]),0)</f>
        <v/>
      </c>
      <c r="P50" s="21">
        <f>IF([@Status]="Open",[@[Current Market Value]]*IF([@[FX to EUR]]="",1,[@[FX to EUR]]),0)</f>
        <v/>
      </c>
      <c r="Q50" s="21">
        <f>IF([@Status]="Open",[@[Value (EUR)]]-[@[Total Cost Basis]]*IF([@[FX to EUR]]="",1,[@[FX to EUR]]),0)</f>
        <v/>
      </c>
      <c r="R50" s="22">
        <f>IF([@[Total Cost Basis]]=0,0,IF([@Status]="Open",[@[Unrealized P/L (€)]]/([@[Total Cost Basis]]*IF([@[FX to EUR]]="",1,[@[FX to EUR]])),0))</f>
        <v/>
      </c>
      <c r="S50" s="18" t="n"/>
      <c r="T50" s="21" t="n"/>
      <c r="U50" s="21" t="n"/>
      <c r="V50" s="21">
        <f>IF([@Status]="Closed",IF([@Asset Class]="Bonds",[@[Quantity / Nominal]]*[@[Sale Price]]/100,[@[Quantity / Nominal]]*[@[Sale Price]])-[@[Sale Fees]],0)</f>
        <v/>
      </c>
      <c r="W50" s="21">
        <f>IF([@Status]="Closed",[@[Net Sale Proceeds]]-[@[Total Cost Basis]]*IF([@[FX to EUR]]="",1,[@[FX to EUR]]),0)</f>
        <v/>
      </c>
      <c r="X50" s="22">
        <f>IF([@[Total Cost Basis]]=0,0,IF([@Status]="Closed",[@[Realized P/L (€)]]/([@[Total Cost Basis]]*IF([@[FX to EUR]]="",1,[@[FX to EUR]])),0))</f>
        <v/>
      </c>
      <c r="Y50">
        <f>IF([@[Sale Date]]="","Open","Closed")</f>
        <v/>
      </c>
      <c r="Z50" t="inlineStr">
        <is>
          <t>Da estratto Barclays ISA</t>
        </is>
      </c>
      <c r="AA50" s="18" t="n"/>
      <c r="AB50" s="22" t="n"/>
      <c r="AD50" s="18" t="n"/>
      <c r="AE50" s="21" t="n"/>
      <c r="AF50" s="18" t="n"/>
      <c r="AG50" s="22" t="n"/>
      <c r="AH50" s="21" t="n"/>
      <c r="AI50" s="22" t="n"/>
      <c r="AJ50" s="21" t="n"/>
      <c r="AM50" s="22" t="n"/>
      <c r="AO50" s="22" t="n"/>
      <c r="AP50" s="21" t="n"/>
    </row>
    <row r="51">
      <c r="A51" t="inlineStr">
        <is>
          <t>Funds</t>
        </is>
      </c>
      <c r="B51" t="inlineStr">
        <is>
          <t>LU1931974630</t>
        </is>
      </c>
      <c r="C51" t="inlineStr">
        <is>
          <t>PRAN</t>
        </is>
      </c>
      <c r="D51" t="inlineStr">
        <is>
          <t>Amundi Prime Emerging Markets Acc</t>
        </is>
      </c>
      <c r="E51" t="inlineStr">
        <is>
          <t>Amundi</t>
        </is>
      </c>
      <c r="F51" t="inlineStr">
        <is>
          <t>EUR</t>
        </is>
      </c>
      <c r="G51" t="n">
        <v>1</v>
      </c>
      <c r="H51" s="18" t="inlineStr">
        <is>
          <t>2024-01-22</t>
        </is>
      </c>
      <c r="I51" s="21" t="n">
        <v>102.1</v>
      </c>
      <c r="J51" s="21" t="n">
        <v>60</v>
      </c>
      <c r="K51" s="21" t="n">
        <v>0</v>
      </c>
      <c r="L51" s="21" t="n">
        <v>0</v>
      </c>
      <c r="M51" s="21">
        <f>IF([@Asset Class]="Bonds",[@[Quantity / Nominal]]*[@[Purchase Price]]/100,[@[Quantity / Nominal]]*[@[Purchase Price]])+[@[Purchase Fees]]+[@[Other Purchase Costs]]</f>
        <v/>
      </c>
      <c r="N51" s="21" t="n">
        <v>108.3</v>
      </c>
      <c r="O51" s="21">
        <f>IF([@Status]="Open",IF([@Asset Class]="Bonds",[@[Quantity / Nominal]]*[@[Current Price]]/100,[@[Quantity / Nominal]]*[@[Current Price]]),0)</f>
        <v/>
      </c>
      <c r="P51" s="21">
        <f>IF([@Status]="Open",[@[Current Market Value]]*IF([@[FX to EUR]]="",1,[@[FX to EUR]]),0)</f>
        <v/>
      </c>
      <c r="Q51" s="21">
        <f>IF([@Status]="Open",[@[Value (EUR)]]-[@[Total Cost Basis]]*IF([@[FX to EUR]]="",1,[@[FX to EUR]]),0)</f>
        <v/>
      </c>
      <c r="R51" s="22">
        <f>IF([@[Total Cost Basis]]=0,0,IF([@Status]="Open",[@[Unrealized P/L (€)]]/([@[Total Cost Basis]]*IF([@[FX to EUR]]="",1,[@[FX to EUR]])),0))</f>
        <v/>
      </c>
      <c r="S51" s="18" t="n"/>
      <c r="T51" s="21" t="n"/>
      <c r="U51" s="21" t="n"/>
      <c r="V51" s="21">
        <f>IF([@Status]="Closed",IF([@Asset Class]="Bonds",[@[Quantity / Nominal]]*[@[Sale Price]]/100,[@[Quantity / Nominal]]*[@[Sale Price]])-[@[Sale Fees]],0)</f>
        <v/>
      </c>
      <c r="W51" s="21">
        <f>IF([@Status]="Closed",[@[Net Sale Proceeds]]-[@[Total Cost Basis]]*IF([@[FX to EUR]]="",1,[@[FX to EUR]]),0)</f>
        <v/>
      </c>
      <c r="X51" s="22">
        <f>IF([@[Total Cost Basis]]=0,0,IF([@Status]="Closed",[@[Realized P/L (€)]]/([@[Total Cost Basis]]*IF([@[FX to EUR]]="",1,[@[FX to EUR]])),0))</f>
        <v/>
      </c>
      <c r="Y51">
        <f>IF([@[Sale Date]]="","Open","Closed")</f>
        <v/>
      </c>
      <c r="Z51" t="inlineStr">
        <is>
          <t>Da estratto Barclays ISA</t>
        </is>
      </c>
      <c r="AA51" s="18" t="n"/>
      <c r="AB51" s="22" t="n"/>
      <c r="AD51" s="18" t="n"/>
      <c r="AE51" s="21" t="n"/>
      <c r="AF51" s="18" t="n"/>
      <c r="AG51" s="22" t="n"/>
      <c r="AH51" s="21" t="n"/>
      <c r="AI51" s="22" t="n"/>
      <c r="AJ51" s="21" t="n"/>
      <c r="AM51" s="22" t="n"/>
      <c r="AO51" s="22" t="n"/>
      <c r="AP51" s="21" t="n"/>
    </row>
    <row r="52">
      <c r="A52" t="inlineStr">
        <is>
          <t>ETFs</t>
        </is>
      </c>
      <c r="B52" t="inlineStr">
        <is>
          <t>IE00BFMXYP42</t>
        </is>
      </c>
      <c r="C52" t="inlineStr">
        <is>
          <t>VUAG</t>
        </is>
      </c>
      <c r="D52" t="inlineStr">
        <is>
          <t>Vanguard S&amp;P 500 UCITS ETF Acc</t>
        </is>
      </c>
      <c r="E52" t="inlineStr">
        <is>
          <t>Vanguard</t>
        </is>
      </c>
      <c r="F52" t="inlineStr">
        <is>
          <t>GBP</t>
        </is>
      </c>
      <c r="G52" t="n">
        <v>1.17</v>
      </c>
      <c r="H52" s="18" t="inlineStr">
        <is>
          <t>2022-08-03</t>
        </is>
      </c>
      <c r="I52" s="21" t="n">
        <v>68.2</v>
      </c>
      <c r="J52" s="21" t="n">
        <v>250</v>
      </c>
      <c r="K52" s="21" t="n">
        <v>3.95</v>
      </c>
      <c r="L52" s="21" t="n">
        <v>0</v>
      </c>
      <c r="M52" s="21">
        <f>IF([@Asset Class]="Bonds",[@[Quantity / Nominal]]*[@[Purchase Price]]/100,[@[Quantity / Nominal]]*[@[Purchase Price]])+[@[Purchase Fees]]+[@[Other Purchase Costs]]</f>
        <v/>
      </c>
      <c r="N52" s="21" t="n">
        <v>89.40000000000001</v>
      </c>
      <c r="O52" s="21">
        <f>IF([@Status]="Open",IF([@Asset Class]="Bonds",[@[Quantity / Nominal]]*[@[Current Price]]/100,[@[Quantity / Nominal]]*[@[Current Price]]),0)</f>
        <v/>
      </c>
      <c r="P52" s="21">
        <f>IF([@Status]="Open",[@[Current Market Value]]*IF([@[FX to EUR]]="",1,[@[FX to EUR]]),0)</f>
        <v/>
      </c>
      <c r="Q52" s="21">
        <f>IF([@Status]="Open",[@[Value (EUR)]]-[@[Total Cost Basis]]*IF([@[FX to EUR]]="",1,[@[FX to EUR]]),0)</f>
        <v/>
      </c>
      <c r="R52" s="22">
        <f>IF([@[Total Cost Basis]]=0,0,IF([@Status]="Open",[@[Unrealized P/L (€)]]/([@[Total Cost Basis]]*IF([@[FX to EUR]]="",1,[@[FX to EUR]])),0))</f>
        <v/>
      </c>
      <c r="S52" s="18" t="n"/>
      <c r="T52" s="21" t="n"/>
      <c r="U52" s="21" t="n"/>
      <c r="V52" s="21">
        <f>IF([@Status]="Closed",IF([@Asset Class]="Bonds",[@[Quantity / Nominal]]*[@[Sale Price]]/100,[@[Quantity / Nominal]]*[@[Sale Price]])-[@[Sale Fees]],0)</f>
        <v/>
      </c>
      <c r="W52" s="21">
        <f>IF([@Status]="Closed",[@[Net Sale Proceeds]]-[@[Total Cost Basis]]*IF([@[FX to EUR]]="",1,[@[FX to EUR]]),0)</f>
        <v/>
      </c>
      <c r="X52" s="22">
        <f>IF([@[Total Cost Basis]]=0,0,IF([@Status]="Closed",[@[Realized P/L (€)]]/([@[Total Cost Basis]]*IF([@[FX to EUR]]="",1,[@[FX to EUR]])),0))</f>
        <v/>
      </c>
      <c r="Y52">
        <f>IF([@[Sale Date]]="","Open","Closed")</f>
        <v/>
      </c>
      <c r="Z52" t="inlineStr">
        <is>
          <t>Da estratto Barclays ISA</t>
        </is>
      </c>
      <c r="AA52" s="18" t="n"/>
      <c r="AB52" s="22" t="n"/>
      <c r="AD52" s="18" t="n"/>
      <c r="AE52" s="21" t="n"/>
      <c r="AF52" s="18" t="n"/>
      <c r="AG52" s="22" t="n"/>
      <c r="AH52" s="21" t="n"/>
      <c r="AI52" s="22" t="n"/>
      <c r="AJ52" s="21" t="n"/>
      <c r="AL52" t="inlineStr">
        <is>
          <t>Accumulating</t>
        </is>
      </c>
      <c r="AM52" s="22" t="n">
        <v>0.0007</v>
      </c>
      <c r="AN52" t="inlineStr">
        <is>
          <t>S&amp;P 500</t>
        </is>
      </c>
      <c r="AO52" s="22" t="n"/>
      <c r="AP52" s="21" t="n"/>
    </row>
    <row r="53">
      <c r="A53" t="inlineStr">
        <is>
          <t>Cash</t>
        </is>
      </c>
      <c r="B53" t="inlineStr"/>
      <c r="C53" t="inlineStr"/>
      <c r="D53" t="inlineStr">
        <is>
          <t>Cash GBP/EUR</t>
        </is>
      </c>
      <c r="E53" t="inlineStr">
        <is>
          <t>Barclays</t>
        </is>
      </c>
      <c r="F53" t="inlineStr">
        <is>
          <t>GBP</t>
        </is>
      </c>
      <c r="G53" t="n">
        <v>1.17</v>
      </c>
      <c r="H53" s="18" t="inlineStr">
        <is>
          <t>2025-01-01</t>
        </is>
      </c>
      <c r="I53" s="21" t="n">
        <v>1</v>
      </c>
      <c r="J53" s="21" t="n">
        <v>4100</v>
      </c>
      <c r="K53" s="21" t="n">
        <v>0</v>
      </c>
      <c r="L53" s="21" t="n">
        <v>0</v>
      </c>
      <c r="M53" s="21">
        <f>IF([@Asset Class]="Bonds",[@[Quantity / Nominal]]*[@[Purchase Price]]/100,[@[Quantity / Nominal]]*[@[Purchase Price]])+[@[Purchase Fees]]+[@[Other Purchase Costs]]</f>
        <v/>
      </c>
      <c r="N53" s="21" t="n">
        <v>1</v>
      </c>
      <c r="O53" s="21">
        <f>IF([@Status]="Open",IF([@Asset Class]="Bonds",[@[Quantity / Nominal]]*[@[Current Price]]/100,[@[Quantity / Nominal]]*[@[Current Price]]),0)</f>
        <v/>
      </c>
      <c r="P53" s="21">
        <f>IF([@Status]="Open",[@[Current Market Value]]*IF([@[FX to EUR]]="",1,[@[FX to EUR]]),0)</f>
        <v/>
      </c>
      <c r="Q53" s="21">
        <f>IF([@Status]="Open",[@[Value (EUR)]]-[@[Total Cost Basis]]*IF([@[FX to EUR]]="",1,[@[FX to EUR]]),0)</f>
        <v/>
      </c>
      <c r="R53" s="22">
        <f>IF([@[Total Cost Basis]]=0,0,IF([@Status]="Open",[@[Unrealized P/L (€)]]/([@[Total Cost Basis]]*IF([@[FX to EUR]]="",1,[@[FX to EUR]])),0))</f>
        <v/>
      </c>
      <c r="S53" s="18" t="n"/>
      <c r="T53" s="21" t="n"/>
      <c r="U53" s="21" t="n"/>
      <c r="V53" s="21">
        <f>IF([@Status]="Closed",IF([@Asset Class]="Bonds",[@[Quantity / Nominal]]*[@[Sale Price]]/100,[@[Quantity / Nominal]]*[@[Sale Price]])-[@[Sale Fees]],0)</f>
        <v/>
      </c>
      <c r="W53" s="21">
        <f>IF([@Status]="Closed",[@[Net Sale Proceeds]]-[@[Total Cost Basis]]*IF([@[FX to EUR]]="",1,[@[FX to EUR]]),0)</f>
        <v/>
      </c>
      <c r="X53" s="22">
        <f>IF([@[Total Cost Basis]]=0,0,IF([@Status]="Closed",[@[Realized P/L (€)]]/([@[Total Cost Basis]]*IF([@[FX to EUR]]="",1,[@[FX to EUR]])),0))</f>
        <v/>
      </c>
      <c r="Y53">
        <f>IF([@[Sale Date]]="","Open","Closed")</f>
        <v/>
      </c>
      <c r="Z53" t="inlineStr">
        <is>
          <t>Saldo cash — aggiornare da estratto</t>
        </is>
      </c>
      <c r="AA53" s="18" t="n"/>
      <c r="AB53" s="22" t="n"/>
      <c r="AD53" s="18" t="n"/>
      <c r="AE53" s="21" t="n"/>
      <c r="AF53" s="18" t="n"/>
      <c r="AG53" s="22" t="n"/>
      <c r="AH53" s="21" t="n"/>
      <c r="AI53" s="22" t="n"/>
      <c r="AJ53" s="21" t="n"/>
      <c r="AM53" s="22" t="n"/>
      <c r="AO53" s="22" t="n"/>
      <c r="AP53" s="21" t="n"/>
    </row>
  </sheetData>
  <mergeCells count="6">
    <mergeCell ref="A2:F2"/>
    <mergeCell ref="A1:J1"/>
    <mergeCell ref="A9:J9"/>
    <mergeCell ref="A23:F23"/>
    <mergeCell ref="A3:C3"/>
    <mergeCell ref="A13:J13"/>
  </mergeCells>
  <conditionalFormatting sqref="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1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E1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1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G1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E1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F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G1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E18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F18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G18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E1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1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1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E2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F2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G2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E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F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G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B27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C27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D27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E27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F27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B28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C28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D28"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E28"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F28"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B29"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C29"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D29">
    <cfRule type="cellIs" priority="71" operator="greaterThan" dxfId="0">
      <formula>0</formula>
    </cfRule>
    <cfRule type="cellIs" priority="72" operator="lessThan" dxfId="1">
      <formula>0</formula>
    </cfRule>
  </conditionalFormatting>
  <conditionalFormatting sqref="E29"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F29"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Q49:Q53"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R49:R53"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W49:W53"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X49:X53">
    <cfRule type="cellIs" priority="83" operator="greaterThan" dxfId="0">
      <formula>0</formula>
    </cfRule>
    <cfRule type="cellIs" priority="84" operator="lessThan" dxfId="1">
      <formula>0</formula>
    </cfRule>
  </conditionalFormatting>
  <dataValidations count="3">
    <dataValidation sqref="C5" showDropDown="0" showInputMessage="0" showErrorMessage="0" allowBlank="0" type="list">
      <formula1>=Config!$C$2:$C$7</formula1>
    </dataValidation>
    <dataValidation sqref="C6" showDropDown="0" showInputMessage="0" showErrorMessage="0" allowBlank="0" type="list">
      <formula1>=Config!$E$2:$E$8</formula1>
    </dataValidation>
    <dataValidation sqref="A49:A53" showDropDown="0" showInputMessage="0" showErrorMessage="0" allowBlank="1" type="list">
      <formula1>=Config!$E$3:$E$8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3"/>
  <sheetViews>
    <sheetView showGridLines="0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14" customWidth="1" min="8" max="8"/>
    <col width="15" customWidth="1" min="9" max="9"/>
    <col width="19" customWidth="1" min="10" max="10"/>
    <col width="14" customWidth="1" min="11" max="11"/>
    <col width="21" customWidth="1" min="12" max="12"/>
    <col width="17" customWidth="1" min="13" max="13"/>
    <col width="14" customWidth="1" min="14" max="14"/>
    <col width="21" customWidth="1" min="15" max="15"/>
    <col width="12" customWidth="1" min="16" max="16"/>
    <col width="19" customWidth="1" min="17" max="17"/>
    <col width="19" customWidth="1" min="18" max="18"/>
    <col width="11" customWidth="1" min="19" max="19"/>
    <col width="11" customWidth="1" min="20" max="20"/>
    <col width="11" customWidth="1" min="21" max="21"/>
    <col width="18" customWidth="1" min="22" max="22"/>
    <col width="17" customWidth="1" min="23" max="23"/>
    <col width="17" customWidth="1" min="24" max="24"/>
    <col width="11" customWidth="1" min="25" max="25"/>
    <col width="11" customWidth="1" min="26" max="26"/>
    <col width="12" customWidth="1" min="27" max="27"/>
    <col width="11" customWidth="1" min="28" max="28"/>
    <col width="17" customWidth="1" min="29" max="29"/>
    <col width="21" customWidth="1" min="30" max="30"/>
    <col width="17" customWidth="1" min="31" max="31"/>
    <col width="14" customWidth="1" min="32" max="32"/>
    <col width="18" customWidth="1" min="33" max="33"/>
    <col width="11" customWidth="1" min="34" max="34"/>
    <col width="15" customWidth="1" min="35" max="35"/>
    <col width="19" customWidth="1" min="36" max="36"/>
    <col width="11" customWidth="1" min="37" max="37"/>
    <col width="18" customWidth="1" min="38" max="38"/>
    <col width="11" customWidth="1" min="39" max="39"/>
    <col width="16" customWidth="1" min="40" max="40"/>
    <col width="14" customWidth="1" min="41" max="41"/>
    <col width="18" customWidth="1" min="42" max="42"/>
  </cols>
  <sheetData>
    <row r="1" ht="28" customHeight="1">
      <c r="A1" s="1" t="inlineStr">
        <is>
          <t>ACCOUNT REPORT — INTESA SANPAOLO</t>
        </is>
      </c>
    </row>
    <row r="2">
      <c r="A2" s="2" t="inlineStr">
        <is>
          <t>Single-account performance | Master table is the source of truth</t>
        </is>
      </c>
      <c r="H2" t="inlineStr">
        <is>
          <t>As of</t>
        </is>
      </c>
      <c r="I2" s="18">
        <f>TODAY()</f>
        <v/>
      </c>
    </row>
    <row r="3">
      <c r="A3" s="5" t="inlineStr">
        <is>
          <t>REPORTING FILTERS</t>
        </is>
      </c>
    </row>
    <row r="4">
      <c r="A4" s="3" t="inlineStr">
        <is>
          <t>Reporting Period</t>
        </is>
      </c>
      <c r="B4" t="inlineStr"/>
      <c r="C4" s="6" t="inlineStr">
        <is>
          <t>Since Inception</t>
        </is>
      </c>
    </row>
    <row r="5">
      <c r="A5" s="3" t="inlineStr">
        <is>
          <t>Asset Class</t>
        </is>
      </c>
      <c r="B5" t="inlineStr"/>
      <c r="C5" s="6" t="inlineStr">
        <is>
          <t>All</t>
        </is>
      </c>
    </row>
    <row r="6">
      <c r="A6" s="3" t="inlineStr">
        <is>
          <t>Custom Start</t>
        </is>
      </c>
      <c r="B6" t="inlineStr"/>
      <c r="C6" s="7" t="inlineStr"/>
    </row>
    <row r="7">
      <c r="A7" s="3" t="inlineStr">
        <is>
          <t>Custom End</t>
        </is>
      </c>
      <c r="B7" t="inlineStr"/>
      <c r="C7" s="7" t="inlineStr"/>
    </row>
    <row r="9">
      <c r="A9" s="8" t="inlineStr">
        <is>
          <t>ACCOUNT SNAPSHOT</t>
        </is>
      </c>
    </row>
    <row r="10">
      <c r="A10" s="3" t="inlineStr">
        <is>
          <t>Net Asset Value</t>
        </is>
      </c>
      <c r="B10" s="3" t="inlineStr">
        <is>
          <t>Invested Capital</t>
        </is>
      </c>
      <c r="C10" s="3" t="inlineStr">
        <is>
          <t>Unrealized P/L</t>
        </is>
      </c>
      <c r="D10" s="3" t="inlineStr">
        <is>
          <t>Realized P/L</t>
        </is>
      </c>
      <c r="E10" s="3" t="inlineStr">
        <is>
          <t>Cash</t>
        </is>
      </c>
      <c r="F10" s="3" t="inlineStr">
        <is>
          <t>Income</t>
        </is>
      </c>
    </row>
    <row r="11">
      <c r="A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(EUR)],((acSel="All")+(tbl_Intesa_Sanpaolo[Asset Class]=acSel))*heldAtEnd(tbl_Intesa_Sanpaolo[Purchase Date],tbl_Intesa_Sanpaolo[Sale Date]))),0))</f>
        <v/>
      </c>
      <c r="B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Total Cost Basis],((acSel="All")+(tbl_Intesa_Sanpaolo[Asset Class]=acSel))*inPeriod(tbl_Intesa_Sanpaolo[Purchase Date]))),0))</f>
        <v/>
      </c>
      <c r="C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(€)],((acSel="All")+(tbl_Intesa_Sanpaolo[Asset Class]=acSel))*heldAtEnd(tbl_Intesa_Sanpaolo[Purchase Date],tbl_Intesa_Sanpaolo[Sale Date]))),0))</f>
        <v/>
      </c>
      <c r="D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(€)],((acSel="All")+(tbl_Intesa_Sanpaolo[Asset Class]=acSel))*inPeriod(tbl_Intesa_Sanpaolo[Sale Date]))),0))</f>
        <v/>
      </c>
      <c r="E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(EUR)],(tbl_Intesa_Sanpaolo[Asset Class]="Cash")*heldAtEnd(tbl_Intesa_Sanpaolo[Purchase Date],tbl_Intesa_Sanpaolo[Sale Date]))),0))</f>
        <v/>
      </c>
      <c r="F11" s="19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Received],((acSel="All")+(tbl_Intesa_Sanpaolo[Asset Class]=acSel))))+SUM(FILTER(tbl_Intesa_Sanpaolo[Interest Received],((acSel="All")+(tbl_Intesa_Sanpaolo[Asset Class]=acSel)))),SUM(FILTER(tbl_Intesa_Sanpaolo[Dividends Received],((acSel="All")+(tbl_Intesa_Sanpaolo[Asset Class]=acSel))*(tbl_Intesa_Sanpaolo[Income Date]&gt;=pStart)*(tbl_Intesa_Sanpaolo[Income Date]&lt;=pEnd)*(tbl_Intesa_Sanpaolo[Income Date]&lt;&gt;"")))+SUM(FILTER(tbl_Intesa_Sanpaolo[Interest Received],((acSel="All")+(tbl_Intesa_Sanpaolo[Asset Class]=acSel))*(tbl_Intesa_Sanpaolo[Income Date]&gt;=pStart)*(tbl_Intesa_Sanpaolo[Income Date]&lt;=pEnd)*(tbl_Intesa_Sanpaolo[Income Date]&lt;&gt;"")))),0))</f>
        <v/>
      </c>
    </row>
    <row r="13">
      <c r="A13" s="8" t="inlineStr">
        <is>
          <t>PERFORMANCE BREAKDOWN BY ASSET CLASS</t>
        </is>
      </c>
    </row>
    <row r="14">
      <c r="A14" s="11" t="inlineStr">
        <is>
          <t>Asset Class</t>
        </is>
      </c>
      <c r="B14" s="12" t="inlineStr">
        <is>
          <t>Market Value</t>
        </is>
      </c>
      <c r="C14" s="12" t="inlineStr">
        <is>
          <t>Weight</t>
        </is>
      </c>
      <c r="D14" s="12" t="inlineStr">
        <is>
          <t>Cost Basis</t>
        </is>
      </c>
      <c r="E14" s="12" t="inlineStr">
        <is>
          <t>Unrealized</t>
        </is>
      </c>
      <c r="F14" s="12" t="inlineStr">
        <is>
          <t>Unrealized %</t>
        </is>
      </c>
      <c r="G14" s="12" t="inlineStr">
        <is>
          <t>Realized</t>
        </is>
      </c>
      <c r="H14" s="12" t="inlineStr">
        <is>
          <t>Income</t>
        </is>
      </c>
      <c r="I14" s="12" t="inlineStr">
        <is>
          <t>Open Pos.</t>
        </is>
      </c>
    </row>
    <row r="15">
      <c r="A15" s="13" t="inlineStr">
        <is>
          <t>Bonds</t>
        </is>
      </c>
      <c r="B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(EUR)],(tbl_Intesa_Sanpaolo[Asset Class]="Bonds")*heldAtEnd(tbl_Intesa_Sanpaolo[Purchase Date],tbl_Intesa_Sanpaolo[Sale Date]))),0))</f>
        <v/>
      </c>
      <c r="C15" s="15">
        <f>IFERROR(IF(B21=0,0,B15/B21),0)</f>
        <v/>
      </c>
      <c r="D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Total Cost Basis],(tbl_Intesa_Sanpaolo[Asset Class]="Bonds")*inPeriod(tbl_Intesa_Sanpaolo[Purchase Date]))),0))</f>
        <v/>
      </c>
      <c r="E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(€)],(tbl_Intesa_Sanpaolo[Asset Class]="Bonds")*heldAtEnd(tbl_Intesa_Sanpaolo[Purchase Date],tbl_Intesa_Sanpaolo[Sale Date]))),0))</f>
        <v/>
      </c>
      <c r="F15" s="15">
        <f>IFERROR(IF(D15=0,0,E15/D15),0)</f>
        <v/>
      </c>
      <c r="G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(€)],(tbl_Intesa_Sanpaolo[Asset Class]="Bonds")*inPeriod(tbl_Intesa_Sanpaolo[Sale Date]))),0))</f>
        <v/>
      </c>
      <c r="H15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Received],(tbl_Intesa_Sanpaolo[Asset Class]="Bonds")))+SUM(FILTER(tbl_Intesa_Sanpaolo[Interest Received],(tbl_Intesa_Sanpaolo[Asset Class]="Bonds"))),SUM(FILTER(tbl_Intesa_Sanpaolo[Dividends Received],(tbl_Intesa_Sanpaolo[Asset Class]="Bonds")*(tbl_Intesa_Sanpaolo[Income Date]&gt;=pStart)*(tbl_Intesa_Sanpaolo[Income Date]&lt;=pEnd)*(tbl_Intesa_Sanpaolo[Income Date]&lt;&gt;"")))+SUM(FILTER(tbl_Intesa_Sanpaolo[Interest Received],(tbl_Intesa_Sanpaolo[Asset Class]="Bonds")*(tbl_Intesa_Sanpaolo[Income Date]&gt;=pStart)*(tbl_Intesa_Sanpaolo[Income Date]&lt;=pEnd)*(tbl_Intesa_Sanpaolo[Income Date]&lt;&gt;"")))),0))</f>
        <v/>
      </c>
      <c r="I15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Intesa_Sanpaolo[Asset Class],(tbl_Intesa_Sanpaolo[Asset Class]="Bonds")*(tbl_Intesa_Sanpaolo[Status]="Open")*heldAtEnd(tbl_Intesa_Sanpaolo[Purchase Date],tbl_Intesa_Sanpaolo[Sale Date]))),0))</f>
        <v/>
      </c>
    </row>
    <row r="16">
      <c r="A16" s="13" t="inlineStr">
        <is>
          <t>Stocks</t>
        </is>
      </c>
      <c r="B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(EUR)],(tbl_Intesa_Sanpaolo[Asset Class]="Stocks")*heldAtEnd(tbl_Intesa_Sanpaolo[Purchase Date],tbl_Intesa_Sanpaolo[Sale Date]))),0))</f>
        <v/>
      </c>
      <c r="C16" s="15">
        <f>IFERROR(IF(B21=0,0,B16/B21),0)</f>
        <v/>
      </c>
      <c r="D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Total Cost Basis],(tbl_Intesa_Sanpaolo[Asset Class]="Stocks")*inPeriod(tbl_Intesa_Sanpaolo[Purchase Date]))),0))</f>
        <v/>
      </c>
      <c r="E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(€)],(tbl_Intesa_Sanpaolo[Asset Class]="Stocks")*heldAtEnd(tbl_Intesa_Sanpaolo[Purchase Date],tbl_Intesa_Sanpaolo[Sale Date]))),0))</f>
        <v/>
      </c>
      <c r="F16" s="15">
        <f>IFERROR(IF(D16=0,0,E16/D16),0)</f>
        <v/>
      </c>
      <c r="G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(€)],(tbl_Intesa_Sanpaolo[Asset Class]="Stocks")*inPeriod(tbl_Intesa_Sanpaolo[Sale Date]))),0))</f>
        <v/>
      </c>
      <c r="H16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Received],(tbl_Intesa_Sanpaolo[Asset Class]="Stocks")))+SUM(FILTER(tbl_Intesa_Sanpaolo[Interest Received],(tbl_Intesa_Sanpaolo[Asset Class]="Stocks"))),SUM(FILTER(tbl_Intesa_Sanpaolo[Dividends Received],(tbl_Intesa_Sanpaolo[Asset Class]="Stocks")*(tbl_Intesa_Sanpaolo[Income Date]&gt;=pStart)*(tbl_Intesa_Sanpaolo[Income Date]&lt;=pEnd)*(tbl_Intesa_Sanpaolo[Income Date]&lt;&gt;"")))+SUM(FILTER(tbl_Intesa_Sanpaolo[Interest Received],(tbl_Intesa_Sanpaolo[Asset Class]="Stocks")*(tbl_Intesa_Sanpaolo[Income Date]&gt;=pStart)*(tbl_Intesa_Sanpaolo[Income Date]&lt;=pEnd)*(tbl_Intesa_Sanpaolo[Income Date]&lt;&gt;"")))),0))</f>
        <v/>
      </c>
      <c r="I16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Intesa_Sanpaolo[Asset Class],(tbl_Intesa_Sanpaolo[Asset Class]="Stocks")*(tbl_Intesa_Sanpaolo[Status]="Open")*heldAtEnd(tbl_Intesa_Sanpaolo[Purchase Date],tbl_Intesa_Sanpaolo[Sale Date]))),0))</f>
        <v/>
      </c>
    </row>
    <row r="17">
      <c r="A17" s="13" t="inlineStr">
        <is>
          <t>ETFs</t>
        </is>
      </c>
      <c r="B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(EUR)],(tbl_Intesa_Sanpaolo[Asset Class]="ETFs")*heldAtEnd(tbl_Intesa_Sanpaolo[Purchase Date],tbl_Intesa_Sanpaolo[Sale Date]))),0))</f>
        <v/>
      </c>
      <c r="C17" s="15">
        <f>IFERROR(IF(B21=0,0,B17/B21),0)</f>
        <v/>
      </c>
      <c r="D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Total Cost Basis],(tbl_Intesa_Sanpaolo[Asset Class]="ETFs")*inPeriod(tbl_Intesa_Sanpaolo[Purchase Date]))),0))</f>
        <v/>
      </c>
      <c r="E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(€)],(tbl_Intesa_Sanpaolo[Asset Class]="ETFs")*heldAtEnd(tbl_Intesa_Sanpaolo[Purchase Date],tbl_Intesa_Sanpaolo[Sale Date]))),0))</f>
        <v/>
      </c>
      <c r="F17" s="15">
        <f>IFERROR(IF(D17=0,0,E17/D17),0)</f>
        <v/>
      </c>
      <c r="G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(€)],(tbl_Intesa_Sanpaolo[Asset Class]="ETFs")*inPeriod(tbl_Intesa_Sanpaolo[Sale Date]))),0))</f>
        <v/>
      </c>
      <c r="H17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Received],(tbl_Intesa_Sanpaolo[Asset Class]="ETFs")))+SUM(FILTER(tbl_Intesa_Sanpaolo[Interest Received],(tbl_Intesa_Sanpaolo[Asset Class]="ETFs"))),SUM(FILTER(tbl_Intesa_Sanpaolo[Dividends Received],(tbl_Intesa_Sanpaolo[Asset Class]="ETFs")*(tbl_Intesa_Sanpaolo[Income Date]&gt;=pStart)*(tbl_Intesa_Sanpaolo[Income Date]&lt;=pEnd)*(tbl_Intesa_Sanpaolo[Income Date]&lt;&gt;"")))+SUM(FILTER(tbl_Intesa_Sanpaolo[Interest Received],(tbl_Intesa_Sanpaolo[Asset Class]="ETFs")*(tbl_Intesa_Sanpaolo[Income Date]&gt;=pStart)*(tbl_Intesa_Sanpaolo[Income Date]&lt;=pEnd)*(tbl_Intesa_Sanpaolo[Income Date]&lt;&gt;"")))),0))</f>
        <v/>
      </c>
      <c r="I17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Intesa_Sanpaolo[Asset Class],(tbl_Intesa_Sanpaolo[Asset Class]="ETFs")*(tbl_Intesa_Sanpaolo[Status]="Open")*heldAtEnd(tbl_Intesa_Sanpaolo[Purchase Date],tbl_Intesa_Sanpaolo[Sale Date]))),0))</f>
        <v/>
      </c>
    </row>
    <row r="18">
      <c r="A18" s="13" t="inlineStr">
        <is>
          <t>Funds</t>
        </is>
      </c>
      <c r="B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(EUR)],(tbl_Intesa_Sanpaolo[Asset Class]="Funds")*heldAtEnd(tbl_Intesa_Sanpaolo[Purchase Date],tbl_Intesa_Sanpaolo[Sale Date]))),0))</f>
        <v/>
      </c>
      <c r="C18" s="15">
        <f>IFERROR(IF(B21=0,0,B18/B21),0)</f>
        <v/>
      </c>
      <c r="D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Total Cost Basis],(tbl_Intesa_Sanpaolo[Asset Class]="Funds")*inPeriod(tbl_Intesa_Sanpaolo[Purchase Date]))),0))</f>
        <v/>
      </c>
      <c r="E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(€)],(tbl_Intesa_Sanpaolo[Asset Class]="Funds")*heldAtEnd(tbl_Intesa_Sanpaolo[Purchase Date],tbl_Intesa_Sanpaolo[Sale Date]))),0))</f>
        <v/>
      </c>
      <c r="F18" s="15">
        <f>IFERROR(IF(D18=0,0,E18/D18),0)</f>
        <v/>
      </c>
      <c r="G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(€)],(tbl_Intesa_Sanpaolo[Asset Class]="Funds")*inPeriod(tbl_Intesa_Sanpaolo[Sale Date]))),0))</f>
        <v/>
      </c>
      <c r="H18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Received],(tbl_Intesa_Sanpaolo[Asset Class]="Funds")))+SUM(FILTER(tbl_Intesa_Sanpaolo[Interest Received],(tbl_Intesa_Sanpaolo[Asset Class]="Funds"))),SUM(FILTER(tbl_Intesa_Sanpaolo[Dividends Received],(tbl_Intesa_Sanpaolo[Asset Class]="Funds")*(tbl_Intesa_Sanpaolo[Income Date]&gt;=pStart)*(tbl_Intesa_Sanpaolo[Income Date]&lt;=pEnd)*(tbl_Intesa_Sanpaolo[Income Date]&lt;&gt;"")))+SUM(FILTER(tbl_Intesa_Sanpaolo[Interest Received],(tbl_Intesa_Sanpaolo[Asset Class]="Funds")*(tbl_Intesa_Sanpaolo[Income Date]&gt;=pStart)*(tbl_Intesa_Sanpaolo[Income Date]&lt;=pEnd)*(tbl_Intesa_Sanpaolo[Income Date]&lt;&gt;"")))),0))</f>
        <v/>
      </c>
      <c r="I18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Intesa_Sanpaolo[Asset Class],(tbl_Intesa_Sanpaolo[Asset Class]="Funds")*(tbl_Intesa_Sanpaolo[Status]="Open")*heldAtEnd(tbl_Intesa_Sanpaolo[Purchase Date],tbl_Intesa_Sanpaolo[Sale Date]))),0))</f>
        <v/>
      </c>
    </row>
    <row r="19">
      <c r="A19" s="13" t="inlineStr">
        <is>
          <t>Cash</t>
        </is>
      </c>
      <c r="B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(EUR)],(tbl_Intesa_Sanpaolo[Asset Class]="Cash")*heldAtEnd(tbl_Intesa_Sanpaolo[Purchase Date],tbl_Intesa_Sanpaolo[Sale Date]))),0))</f>
        <v/>
      </c>
      <c r="C19" s="15">
        <f>IFERROR(IF(B21=0,0,B19/B21),0)</f>
        <v/>
      </c>
      <c r="D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Total Cost Basis],(tbl_Intesa_Sanpaolo[Asset Class]="Cash")*inPeriod(tbl_Intesa_Sanpaolo[Purchase Date]))),0))</f>
        <v/>
      </c>
      <c r="E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(€)],(tbl_Intesa_Sanpaolo[Asset Class]="Cash")*heldAtEnd(tbl_Intesa_Sanpaolo[Purchase Date],tbl_Intesa_Sanpaolo[Sale Date]))),0))</f>
        <v/>
      </c>
      <c r="F19" s="15">
        <f>IFERROR(IF(D19=0,0,E19/D19),0)</f>
        <v/>
      </c>
      <c r="G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(€)],(tbl_Intesa_Sanpaolo[Asset Class]="Cash")*inPeriod(tbl_Intesa_Sanpaolo[Sale Date]))),0))</f>
        <v/>
      </c>
      <c r="H19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Received],(tbl_Intesa_Sanpaolo[Asset Class]="Cash")))+SUM(FILTER(tbl_Intesa_Sanpaolo[Interest Received],(tbl_Intesa_Sanpaolo[Asset Class]="Cash"))),SUM(FILTER(tbl_Intesa_Sanpaolo[Dividends Received],(tbl_Intesa_Sanpaolo[Asset Class]="Cash")*(tbl_Intesa_Sanpaolo[Income Date]&gt;=pStart)*(tbl_Intesa_Sanpaolo[Income Date]&lt;=pEnd)*(tbl_Intesa_Sanpaolo[Income Date]&lt;&gt;"")))+SUM(FILTER(tbl_Intesa_Sanpaolo[Interest Received],(tbl_Intesa_Sanpaolo[Asset Class]="Cash")*(tbl_Intesa_Sanpaolo[Income Date]&gt;=pStart)*(tbl_Intesa_Sanpaolo[Income Date]&lt;=pEnd)*(tbl_Intesa_Sanpaolo[Income Date]&lt;&gt;"")))),0))</f>
        <v/>
      </c>
      <c r="I19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Intesa_Sanpaolo[Asset Class],(tbl_Intesa_Sanpaolo[Asset Class]="Cash")*(tbl_Intesa_Sanpaolo[Status]="Open")*heldAtEnd(tbl_Intesa_Sanpaolo[Purchase Date],tbl_Intesa_Sanpaolo[Sale Date]))),0))</f>
        <v/>
      </c>
    </row>
    <row r="20">
      <c r="A20" s="13" t="inlineStr">
        <is>
          <t>Other</t>
        </is>
      </c>
      <c r="B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(EUR)],(tbl_Intesa_Sanpaolo[Asset Class]="Other")*heldAtEnd(tbl_Intesa_Sanpaolo[Purchase Date],tbl_Intesa_Sanpaolo[Sale Date]))),0))</f>
        <v/>
      </c>
      <c r="C20" s="15">
        <f>IFERROR(IF(B21=0,0,B20/B21),0)</f>
        <v/>
      </c>
      <c r="D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Total Cost Basis],(tbl_Intesa_Sanpaolo[Asset Class]="Other")*inPeriod(tbl_Intesa_Sanpaolo[Purchase Date]))),0))</f>
        <v/>
      </c>
      <c r="E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(€)],(tbl_Intesa_Sanpaolo[Asset Class]="Other")*heldAtEnd(tbl_Intesa_Sanpaolo[Purchase Date],tbl_Intesa_Sanpaolo[Sale Date]))),0))</f>
        <v/>
      </c>
      <c r="F20" s="15">
        <f>IFERROR(IF(D20=0,0,E20/D20),0)</f>
        <v/>
      </c>
      <c r="G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(€)],(tbl_Intesa_Sanpaolo[Asset Class]="Other")*inPeriod(tbl_Intesa_Sanpaolo[Sale Date]))),0))</f>
        <v/>
      </c>
      <c r="H20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Received],(tbl_Intesa_Sanpaolo[Asset Class]="Other")))+SUM(FILTER(tbl_Intesa_Sanpaolo[Interest Received],(tbl_Intesa_Sanpaolo[Asset Class]="Other"))),SUM(FILTER(tbl_Intesa_Sanpaolo[Dividends Received],(tbl_Intesa_Sanpaolo[Asset Class]="Other")*(tbl_Intesa_Sanpaolo[Income Date]&gt;=pStart)*(tbl_Intesa_Sanpaolo[Income Date]&lt;=pEnd)*(tbl_Intesa_Sanpaolo[Income Date]&lt;&gt;"")))+SUM(FILTER(tbl_Intesa_Sanpaolo[Interest Received],(tbl_Intesa_Sanpaolo[Asset Class]="Other")*(tbl_Intesa_Sanpaolo[Income Date]&gt;=pStart)*(tbl_Intesa_Sanpaolo[Income Date]&lt;=pEnd)*(tbl_Intesa_Sanpaolo[Income Date]&lt;&gt;"")))),0))</f>
        <v/>
      </c>
      <c r="I20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Intesa_Sanpaolo[Asset Class],(tbl_Intesa_Sanpaolo[Asset Class]="Other")*(tbl_Intesa_Sanpaolo[Status]="Open")*heldAtEnd(tbl_Intesa_Sanpaolo[Purchase Date],tbl_Intesa_Sanpaolo[Sale Date]))),0))</f>
        <v/>
      </c>
    </row>
    <row r="21">
      <c r="A21" s="17" t="inlineStr">
        <is>
          <t>TOTAL</t>
        </is>
      </c>
      <c r="B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Value (EUR)],((acSel="All")+(tbl_Intesa_Sanpaolo[Asset Class]=acSel))*heldAtEnd(tbl_Intesa_Sanpaolo[Purchase Date],tbl_Intesa_Sanpaolo[Sale Date]))),0))</f>
        <v/>
      </c>
      <c r="C21" s="15" t="n">
        <v>1</v>
      </c>
      <c r="D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Total Cost Basis],((acSel="All")+(tbl_Intesa_Sanpaolo[Asset Class]=acSel))*inPeriod(tbl_Intesa_Sanpaolo[Purchase Date]))),0))</f>
        <v/>
      </c>
      <c r="E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Unrealized P/L (€)],((acSel="All")+(tbl_Intesa_Sanpaolo[Asset Class]=acSel))*heldAtEnd(tbl_Intesa_Sanpaolo[Purchase Date],tbl_Intesa_Sanpaolo[Sale Date]))),0))</f>
        <v/>
      </c>
      <c r="F21" s="15">
        <f>IFERROR(IF(D21=0,0,E21/D21),0)</f>
        <v/>
      </c>
      <c r="G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SUM(FILTER(tbl_Intesa_Sanpaolo[Realized P/L (€)],((acSel="All")+(tbl_Intesa_Sanpaolo[Asset Class]=acSel))*inPeriod(tbl_Intesa_Sanpaolo[Sale Date]))),0))</f>
        <v/>
      </c>
      <c r="H21" s="14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Inception",DATE(9999,12,31),"Custom",$C8,DATE(9999,12,31)),heldAtEnd,LAMBDA(pd,sd,(pd&lt;&gt;"")*(pd&lt;=pEnd)*((sd="")+(sd&gt;pEnd))),inPeriod,LAMBDA(dt,(dt&lt;&gt;"")*(dt&gt;=pStart)*(dt&lt;=pEnd)),acMatch,LAMBDA(c,(acSel="All")+(acSel=c)),IFERROR(IF(pSel="Since Inception",SUM(FILTER(tbl_Intesa_Sanpaolo[Dividends Received],((acSel="All")+(tbl_Intesa_Sanpaolo[Asset Class]=acSel))))+SUM(FILTER(tbl_Intesa_Sanpaolo[Interest Received],((acSel="All")+(tbl_Intesa_Sanpaolo[Asset Class]=acSel)))),SUM(FILTER(tbl_Intesa_Sanpaolo[Dividends Received],((acSel="All")+(tbl_Intesa_Sanpaolo[Asset Class]=acSel))*(tbl_Intesa_Sanpaolo[Income Date]&gt;=pStart)*(tbl_Intesa_Sanpaolo[Income Date]&lt;=pEnd)*(tbl_Intesa_Sanpaolo[Income Date]&lt;&gt;"")))+SUM(FILTER(tbl_Intesa_Sanpaolo[Interest Received],((acSel="All")+(tbl_Intesa_Sanpaolo[Asset Class]=acSel))*(tbl_Intesa_Sanpaolo[Income Date]&gt;=pStart)*(tbl_Intesa_Sanpaolo[Income Date]&lt;=pEnd)*(tbl_Intesa_Sanpaolo[Income Date]&lt;&gt;"")))),0))</f>
        <v/>
      </c>
      <c r="I21" s="16">
        <f>LET(pSel,C5,acSel,C6,pStart,SWITCH(pSel,"Current Month",DATE(YEAR(TODAY()),MONTH(TODAY()),1),"Current Quarter",DATE(YEAR(TODAY()),INT((MONTH(TODAY())-1)/3)*3+1,1),"Current Year",DATE(YEAR(TODAY()),1,1),"Previous Year",DATE(YEAR(TODAY())-1,1,1),"Since Inception",DATE(1900,1,1),"Custom",$C7,DATE(1900,1,1)),pEnd,SWITCH(pSel,"Current Month",EOMONTH(TODAY(),0),"Current Quarter",EOMONTH(DATE(YEAR(TODAY()),INT((MONTH(TODAY())-1)/3)*3+3,1),0),"Current Year",DATE(YEAR(TODAY()),12,31),"Previous Year",DATE(YEAR(TODAY())-1,12,31),"Since Inception",DATE(9999,12,31),"Custom",$C8,DATE(9999,12,31)),heldAtEnd,LAMBDA(pd,sd,(pd&lt;&gt;"")*(pd&lt;=pEnd)*((sd="")+(sd&gt;pEnd))),inPeriod,LAMBDA(dt,(dt&lt;&gt;"")*(dt&gt;=pStart)*(dt&lt;=pEnd)),acMatch,LAMBDA(c,(acSel="All")+(acSel=c)),IFERROR(ROWS(FILTER(tbl_Intesa_Sanpaolo[Asset Class],((acSel="All")+(tbl_Intesa_Sanpaolo[Asset Class]=acSel))*(tbl_Intesa_Sanpaolo[Status]="Open")*heldAtEnd(tbl_Intesa_Sanpaolo[Purchase Date],tbl_Intesa_Sanpaolo[Sale Date]))),0))</f>
        <v/>
      </c>
    </row>
    <row r="23">
      <c r="A23" s="8" t="inlineStr">
        <is>
          <t>PERFORMANCE BY REPORTING PERIOD</t>
        </is>
      </c>
    </row>
    <row r="24">
      <c r="A24" s="11" t="inlineStr">
        <is>
          <t>Metric</t>
        </is>
      </c>
      <c r="B24" s="12" t="inlineStr">
        <is>
          <t>Current Month</t>
        </is>
      </c>
      <c r="C24" s="12" t="inlineStr">
        <is>
          <t>Current Quarter</t>
        </is>
      </c>
      <c r="D24" s="12" t="inlineStr">
        <is>
          <t>Current Year</t>
        </is>
      </c>
      <c r="E24" s="12" t="inlineStr">
        <is>
          <t>Previous Year</t>
        </is>
      </c>
      <c r="F24" s="12" t="inlineStr">
        <is>
          <t>Since Inception</t>
        </is>
      </c>
    </row>
    <row r="25">
      <c r="A25" s="13" t="inlineStr">
        <is>
          <t>Net Asset Value</t>
        </is>
      </c>
      <c r="B25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Inception",DATE(9999,12,31),DATE(9999,12,31)),acSel,C6,heldAtEnd,LAMBDA(pd,sd,(pd&lt;&gt;"")*(pd&lt;=pEnd)*((sd="")+(sd&gt;pEnd))),inPeriod,LAMBDA(dt,(dt&lt;&gt;"")*(dt&gt;=pStart)*(dt&lt;=pEnd)),IFERROR(SUM(FILTER(tbl_Intesa_Sanpaolo[Value (EUR)],((acSel="All")+(tbl_Intesa_Sanpaolo[Asset Class]=acSel))*heldAtEnd(tbl_Intesa_Sanpaolo[Purchase Date],tbl_Intesa_Sanpaolo[Sale Date]))),0))</f>
        <v/>
      </c>
      <c r="C25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Inception",DATE(9999,12,31),DATE(9999,12,31)),acSel,C6,heldAtEnd,LAMBDA(pd,sd,(pd&lt;&gt;"")*(pd&lt;=pEnd)*((sd="")+(sd&gt;pEnd))),inPeriod,LAMBDA(dt,(dt&lt;&gt;"")*(dt&gt;=pStart)*(dt&lt;=pEnd)),IFERROR(SUM(FILTER(tbl_Intesa_Sanpaolo[Value (EUR)],((acSel="All")+(tbl_Intesa_Sanpaolo[Asset Class]=acSel))*heldAtEnd(tbl_Intesa_Sanpaolo[Purchase Date],tbl_Intesa_Sanpaolo[Sale Date]))),0))</f>
        <v/>
      </c>
      <c r="D25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Inception",DATE(9999,12,31),DATE(9999,12,31)),acSel,C6,heldAtEnd,LAMBDA(pd,sd,(pd&lt;&gt;"")*(pd&lt;=pEnd)*((sd="")+(sd&gt;pEnd))),inPeriod,LAMBDA(dt,(dt&lt;&gt;"")*(dt&gt;=pStart)*(dt&lt;=pEnd)),IFERROR(SUM(FILTER(tbl_Intesa_Sanpaolo[Value (EUR)],((acSel="All")+(tbl_Intesa_Sanpaolo[Asset Class]=acSel))*heldAtEnd(tbl_Intesa_Sanpaolo[Purchase Date],tbl_Intesa_Sanpaolo[Sale Date]))),0))</f>
        <v/>
      </c>
      <c r="E25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Inception",DATE(9999,12,31),DATE(9999,12,31)),acSel,C6,heldAtEnd,LAMBDA(pd,sd,(pd&lt;&gt;"")*(pd&lt;=pEnd)*((sd="")+(sd&gt;pEnd))),inPeriod,LAMBDA(dt,(dt&lt;&gt;"")*(dt&gt;=pStart)*(dt&lt;=pEnd)),IFERROR(SUM(FILTER(tbl_Intesa_Sanpaolo[Value (EUR)],((acSel="All")+(tbl_Intesa_Sanpaolo[Asset Class]=acSel))*heldAtEnd(tbl_Intesa_Sanpaolo[Purchase Date],tbl_Intesa_Sanpaolo[Sale Date]))),0))</f>
        <v/>
      </c>
      <c r="F25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Inception",DATE(9999,12,31),DATE(9999,12,31)),acSel,C6,heldAtEnd,LAMBDA(pd,sd,(pd&lt;&gt;"")*(pd&lt;=pEnd)*((sd="")+(sd&gt;pEnd))),inPeriod,LAMBDA(dt,(dt&lt;&gt;"")*(dt&gt;=pStart)*(dt&lt;=pEnd)),IFERROR(SUM(FILTER(tbl_Intesa_Sanpaolo[Value (EUR)],((acSel="All")+(tbl_Intesa_Sanpaolo[Asset Class]=acSel))*heldAtEnd(tbl_Intesa_Sanpaolo[Purchase Date],tbl_Intesa_Sanpaolo[Sale Date]))),0))</f>
        <v/>
      </c>
    </row>
    <row r="26">
      <c r="A26" s="13" t="inlineStr">
        <is>
          <t>Invested Capital</t>
        </is>
      </c>
      <c r="B26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</f>
        <v/>
      </c>
      <c r="C26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</f>
        <v/>
      </c>
      <c r="D26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</f>
        <v/>
      </c>
      <c r="E26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</f>
        <v/>
      </c>
      <c r="F26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</f>
        <v/>
      </c>
    </row>
    <row r="27">
      <c r="A27" s="13" t="inlineStr">
        <is>
          <t>Unrealized P/L</t>
        </is>
      </c>
      <c r="B27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</f>
        <v/>
      </c>
      <c r="C27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</f>
        <v/>
      </c>
      <c r="D27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</f>
        <v/>
      </c>
      <c r="E27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</f>
        <v/>
      </c>
      <c r="F27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</f>
        <v/>
      </c>
    </row>
    <row r="28">
      <c r="A28" s="13" t="inlineStr">
        <is>
          <t>Realized P/L</t>
        </is>
      </c>
      <c r="B28" s="14">
        <f>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</f>
        <v/>
      </c>
      <c r="C28" s="14">
        <f>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</f>
        <v/>
      </c>
      <c r="D28" s="14">
        <f>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</f>
        <v/>
      </c>
      <c r="E28" s="14">
        <f>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</f>
        <v/>
      </c>
      <c r="F28" s="14">
        <f>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</f>
        <v/>
      </c>
    </row>
    <row r="29">
      <c r="A29" s="13" t="inlineStr">
        <is>
          <t>Total Return %</t>
        </is>
      </c>
      <c r="B29" s="15">
        <f>LET(u,LET(pStart,SWITCH("Current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Date]))),0)),rl,LET(pStart,SWITCH("Current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Date]))),0)),d,LET(pStart,SWITCH("Current Month","Current Month",DATE(YEAR(TODAY()),MONTH(TODAY()),1),"Current Quarter",DATE(YEAR(TODAY()),INT((MONTH(TODAY())-1)/3)*3+1,1),"Current Year",DATE(YEAR(TODAY()),1,1),"Previous Year",DATE(YEAR(TODAY())-1,1,1),"Since Inception",DATE(1900,1,1),DATE(1900,1,1)),pEnd,SWITCH("Current Month","Current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Date]))),0)),IFERROR(IF(d=0,0,(u+rl)/d),0))</f>
        <v/>
      </c>
      <c r="C29" s="15">
        <f>LET(u,LET(pStart,SWITCH("Current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Date]))),0)),rl,LET(pStart,SWITCH("Current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Date]))),0)),d,LET(pStart,SWITCH("Current Quarter","Current Month",DATE(YEAR(TODAY()),MONTH(TODAY()),1),"Current Quarter",DATE(YEAR(TODAY()),INT((MONTH(TODAY())-1)/3)*3+1,1),"Current Year",DATE(YEAR(TODAY()),1,1),"Previous Year",DATE(YEAR(TODAY())-1,1,1),"Since Inception",DATE(1900,1,1),DATE(1900,1,1)),pEnd,SWITCH("Current Quarter","Current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Date]))),0)),IFERROR(IF(d=0,0,(u+rl)/d),0))</f>
        <v/>
      </c>
      <c r="D29" s="15">
        <f>LET(u,LET(pStart,SWITCH("Current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Date]))),0)),rl,LET(pStart,SWITCH("Current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Date]))),0)),d,LET(pStart,SWITCH("Current Year","Current Month",DATE(YEAR(TODAY()),MONTH(TODAY()),1),"Current Quarter",DATE(YEAR(TODAY()),INT((MONTH(TODAY())-1)/3)*3+1,1),"Current Year",DATE(YEAR(TODAY()),1,1),"Previous Year",DATE(YEAR(TODAY())-1,1,1),"Since Inception",DATE(1900,1,1),DATE(1900,1,1)),pEnd,SWITCH("Current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Date]))),0)),IFERROR(IF(d=0,0,(u+rl)/d),0))</f>
        <v/>
      </c>
      <c r="E29" s="15">
        <f>LET(u,LET(pStart,SWITCH("Previous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Date]))),0)),rl,LET(pStart,SWITCH("Previous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Date]))),0)),d,LET(pStart,SWITCH("Previous Year","Current Month",DATE(YEAR(TODAY()),MONTH(TODAY()),1),"Current Quarter",DATE(YEAR(TODAY()),INT((MONTH(TODAY())-1)/3)*3+1,1),"Current Year",DATE(YEAR(TODAY()),1,1),"Previous Year",DATE(YEAR(TODAY())-1,1,1),"Since Inception",DATE(1900,1,1),DATE(1900,1,1)),pEnd,SWITCH("Previous Year","Current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Date]))),0)),IFERROR(IF(d=0,0,(u+rl)/d),0))</f>
        <v/>
      </c>
      <c r="F29" s="15">
        <f>LET(u,LET(pStart,SWITCH("Since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Inception",DATE(9999,12,31),DATE(9999,12,31)),acSel,C6,heldAtEnd,LAMBDA(pd,sd,(pd&lt;&gt;"")*(pd&lt;=pEnd)*((sd="")+(sd&gt;pEnd))),inPeriod,LAMBDA(dt,(dt&lt;&gt;"")*(dt&gt;=pStart)*(dt&lt;=pEnd)),IFERROR(SUM(FILTER(tbl_Intesa_Sanpaolo[Unrealized P/L (€)],((acSel="All")+(tbl_Intesa_Sanpaolo[Asset Class]=acSel))*heldAtEnd(tbl_Intesa_Sanpaolo[Purchase Date],tbl_Intesa_Sanpaolo[Sale Date]))),0)),rl,LET(pStart,SWITCH("Since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Inception",DATE(9999,12,31),DATE(9999,12,31)),acSel,C6,heldAtEnd,LAMBDA(pd,sd,(pd&lt;&gt;"")*(pd&lt;=pEnd)*((sd="")+(sd&gt;pEnd))),inPeriod,LAMBDA(dt,(dt&lt;&gt;"")*(dt&gt;=pStart)*(dt&lt;=pEnd)),IFERROR(SUM(FILTER(tbl_Intesa_Sanpaolo[Realized P/L (€)],((acSel="All")+(tbl_Intesa_Sanpaolo[Asset Class]=acSel))*inPeriod(tbl_Intesa_Sanpaolo[Sale Date]))),0)),d,LET(pStart,SWITCH("Since Inception","Current Month",DATE(YEAR(TODAY()),MONTH(TODAY()),1),"Current Quarter",DATE(YEAR(TODAY()),INT((MONTH(TODAY())-1)/3)*3+1,1),"Current Year",DATE(YEAR(TODAY()),1,1),"Previous Year",DATE(YEAR(TODAY())-1,1,1),"Since Inception",DATE(1900,1,1),DATE(1900,1,1)),pEnd,SWITCH("Since Inception","Current Month",EOMONTH(TODAY(),0),"Current Quarter",EOMONTH(DATE(YEAR(TODAY()),INT((MONTH(TODAY())-1)/3)*3+3,1),0),"Current Year",DATE(YEAR(TODAY()),12,31),"Previous Year",DATE(YEAR(TODAY())-1,12,31),"Since Inception",DATE(9999,12,31),DATE(9999,12,31)),acSel,C6,heldAtEnd,LAMBDA(pd,sd,(pd&lt;&gt;"")*(pd&lt;=pEnd)*((sd="")+(sd&gt;pEnd))),inPeriod,LAMBDA(dt,(dt&lt;&gt;"")*(dt&gt;=pStart)*(dt&lt;=pEnd)),IFERROR(SUM(FILTER(tbl_Intesa_Sanpaolo[Total Cost Basis],((acSel="All")+(tbl_Intesa_Sanpaolo[Asset Class]=acSel))*inPeriod(tbl_Intesa_Sanpaolo[Purchase Date]))),0)),IFERROR(IF(d=0,0,(u+rl)/d),0))</f>
        <v/>
      </c>
    </row>
    <row r="46">
      <c r="A46" s="5" t="inlineStr">
        <is>
          <t>MASTER INVESTMENT TABLE</t>
        </is>
      </c>
    </row>
    <row r="47">
      <c r="A47" s="3" t="inlineStr">
        <is>
          <t>Single source of truth for this account — all metrics above are formula-linked to this table.</t>
        </is>
      </c>
    </row>
    <row r="48">
      <c r="A48" s="20" t="inlineStr">
        <is>
          <t>Asset Class</t>
        </is>
      </c>
      <c r="B48" s="20" t="inlineStr">
        <is>
          <t>ISIN</t>
        </is>
      </c>
      <c r="C48" s="20" t="inlineStr">
        <is>
          <t>Ticker</t>
        </is>
      </c>
      <c r="D48" s="20" t="inlineStr">
        <is>
          <t>Security Name</t>
        </is>
      </c>
      <c r="E48" s="20" t="inlineStr">
        <is>
          <t>Issuer</t>
        </is>
      </c>
      <c r="F48" s="20" t="inlineStr">
        <is>
          <t>Currency</t>
        </is>
      </c>
      <c r="G48" s="20" t="inlineStr">
        <is>
          <t>FX to EUR</t>
        </is>
      </c>
      <c r="H48" s="20" t="inlineStr">
        <is>
          <t>Purchase Date</t>
        </is>
      </c>
      <c r="I48" s="20" t="inlineStr">
        <is>
          <t>Purchase Price</t>
        </is>
      </c>
      <c r="J48" s="20" t="inlineStr">
        <is>
          <t>Quantity / Nominal</t>
        </is>
      </c>
      <c r="K48" s="20" t="inlineStr">
        <is>
          <t>Purchase Fees</t>
        </is>
      </c>
      <c r="L48" s="20" t="inlineStr">
        <is>
          <t>Other Purchase Costs</t>
        </is>
      </c>
      <c r="M48" s="20" t="inlineStr">
        <is>
          <t>Total Cost Basis</t>
        </is>
      </c>
      <c r="N48" s="20" t="inlineStr">
        <is>
          <t>Current Price</t>
        </is>
      </c>
      <c r="O48" s="20" t="inlineStr">
        <is>
          <t>Current Market Value</t>
        </is>
      </c>
      <c r="P48" s="20" t="inlineStr">
        <is>
          <t>Value (EUR)</t>
        </is>
      </c>
      <c r="Q48" s="20" t="inlineStr">
        <is>
          <t>Unrealized P/L (€)</t>
        </is>
      </c>
      <c r="R48" s="20" t="inlineStr">
        <is>
          <t>Unrealized P/L (%)</t>
        </is>
      </c>
      <c r="S48" s="20" t="inlineStr">
        <is>
          <t>Sale Date</t>
        </is>
      </c>
      <c r="T48" s="20" t="inlineStr">
        <is>
          <t>Sale Price</t>
        </is>
      </c>
      <c r="U48" s="20" t="inlineStr">
        <is>
          <t>Sale Fees</t>
        </is>
      </c>
      <c r="V48" s="20" t="inlineStr">
        <is>
          <t>Net Sale Proceeds</t>
        </is>
      </c>
      <c r="W48" s="20" t="inlineStr">
        <is>
          <t>Realized P/L (€)</t>
        </is>
      </c>
      <c r="X48" s="20" t="inlineStr">
        <is>
          <t>Realized P/L (%)</t>
        </is>
      </c>
      <c r="Y48" s="20" t="inlineStr">
        <is>
          <t>Status</t>
        </is>
      </c>
      <c r="Z48" s="20" t="inlineStr">
        <is>
          <t>Notes</t>
        </is>
      </c>
      <c r="AA48" s="20" t="inlineStr">
        <is>
          <t>Income Date</t>
        </is>
      </c>
      <c r="AB48" s="20" t="inlineStr">
        <is>
          <t>Coupon %</t>
        </is>
      </c>
      <c r="AC48" s="20" t="inlineStr">
        <is>
          <t>Coupon Frequency</t>
        </is>
      </c>
      <c r="AD48" s="20" t="inlineStr">
        <is>
          <t>Coupon Payment Dates</t>
        </is>
      </c>
      <c r="AE48" s="20" t="inlineStr">
        <is>
          <t>Coupons Received</t>
        </is>
      </c>
      <c r="AF48" s="20" t="inlineStr">
        <is>
          <t>Maturity Date</t>
        </is>
      </c>
      <c r="AG48" s="20" t="inlineStr">
        <is>
          <t>Yield to Maturity</t>
        </is>
      </c>
      <c r="AH48" s="20" t="inlineStr">
        <is>
          <t>Duration</t>
        </is>
      </c>
      <c r="AI48" s="20" t="inlineStr">
        <is>
          <t>Dividend Yield</t>
        </is>
      </c>
      <c r="AJ48" s="20" t="inlineStr">
        <is>
          <t>Dividends Received</t>
        </is>
      </c>
      <c r="AK48" s="20" t="inlineStr">
        <is>
          <t>Exchange</t>
        </is>
      </c>
      <c r="AL48" s="20" t="inlineStr">
        <is>
          <t>Distribution Type</t>
        </is>
      </c>
      <c r="AM48" s="20" t="inlineStr">
        <is>
          <t>TER</t>
        </is>
      </c>
      <c r="AN48" s="20" t="inlineStr">
        <is>
          <t>Benchmark Index</t>
        </is>
      </c>
      <c r="AO48" s="20" t="inlineStr">
        <is>
          <t>Interest Rate</t>
        </is>
      </c>
      <c r="AP48" s="20" t="inlineStr">
        <is>
          <t>Interest Received</t>
        </is>
      </c>
    </row>
    <row r="49">
      <c r="A49" t="inlineStr">
        <is>
          <t>Bonds</t>
        </is>
      </c>
      <c r="B49" t="inlineStr">
        <is>
          <t>XS2829810923</t>
        </is>
      </c>
      <c r="C49" t="inlineStr">
        <is>
          <t>ROMANIA 37</t>
        </is>
      </c>
      <c r="D49" t="inlineStr">
        <is>
          <t>Romania 5.625% 24/37</t>
        </is>
      </c>
      <c r="E49" t="inlineStr">
        <is>
          <t>Romania</t>
        </is>
      </c>
      <c r="F49" t="inlineStr">
        <is>
          <t>EUR</t>
        </is>
      </c>
      <c r="G49" t="n">
        <v>1</v>
      </c>
      <c r="H49" s="18" t="inlineStr">
        <is>
          <t>2026-07-14</t>
        </is>
      </c>
      <c r="I49" s="21" t="n">
        <v>97</v>
      </c>
      <c r="J49" s="21" t="n">
        <v>15000</v>
      </c>
      <c r="K49" s="21" t="n">
        <v>38.42</v>
      </c>
      <c r="L49" s="21" t="n">
        <v>93.38</v>
      </c>
      <c r="M49" s="21">
        <f>IF([@Asset Class]="Bonds",[@[Quantity / Nominal]]*[@[Purchase Price]]/100,[@[Quantity / Nominal]]*[@[Purchase Price]])+[@[Purchase Fees]]+[@[Other Purchase Costs]]</f>
        <v/>
      </c>
      <c r="N49" s="21" t="n">
        <v>97</v>
      </c>
      <c r="O49" s="21">
        <f>IF([@Status]="Open",IF([@Asset Class]="Bonds",[@[Quantity / Nominal]]*[@[Current Price]]/100,[@[Quantity / Nominal]]*[@[Current Price]]),0)</f>
        <v/>
      </c>
      <c r="P49" s="21">
        <f>IF([@Status]="Open",[@[Current Market Value]]*IF([@[FX to EUR]]="",1,[@[FX to EUR]]),0)</f>
        <v/>
      </c>
      <c r="Q49" s="21">
        <f>IF([@Status]="Open",[@[Value (EUR)]]-[@[Total Cost Basis]]*IF([@[FX to EUR]]="",1,[@[FX to EUR]]),0)</f>
        <v/>
      </c>
      <c r="R49" s="22">
        <f>IF([@[Total Cost Basis]]=0,0,IF([@Status]="Open",[@[Unrealized P/L (€)]]/([@[Total Cost Basis]]*IF([@[FX to EUR]]="",1,[@[FX to EUR]])),0))</f>
        <v/>
      </c>
      <c r="S49" s="18" t="n"/>
      <c r="T49" s="21" t="n"/>
      <c r="U49" s="21" t="n"/>
      <c r="V49" s="21">
        <f>IF([@Status]="Closed",IF([@Asset Class]="Bonds",[@[Quantity / Nominal]]*[@[Sale Price]]/100,[@[Quantity / Nominal]]*[@[Sale Price]])-[@[Sale Fees]],0)</f>
        <v/>
      </c>
      <c r="W49" s="21">
        <f>IF([@Status]="Closed",[@[Net Sale Proceeds]]-[@[Total Cost Basis]]*IF([@[FX to EUR]]="",1,[@[FX to EUR]]),0)</f>
        <v/>
      </c>
      <c r="X49" s="22">
        <f>IF([@[Total Cost Basis]]=0,0,IF([@Status]="Closed",[@[Realized P/L (€)]]/([@[Total Cost Basis]]*IF([@[FX to EUR]]="",1,[@[FX to EUR]])),0))</f>
        <v/>
      </c>
      <c r="Y49">
        <f>IF([@[Sale Date]]="","Open","Closed")</f>
        <v/>
      </c>
      <c r="Z49" t="inlineStr">
        <is>
          <t>Conferma operazioni 14/07/2026 — Dep. 06793 3100 03022395</t>
        </is>
      </c>
      <c r="AA49" s="18" t="n"/>
      <c r="AB49" s="22" t="n">
        <v>0.05625</v>
      </c>
      <c r="AC49" t="inlineStr">
        <is>
          <t>Annual</t>
        </is>
      </c>
      <c r="AD49" s="18" t="n"/>
      <c r="AE49" s="21" t="n"/>
      <c r="AF49" s="18" t="inlineStr">
        <is>
          <t>2037-02-24</t>
        </is>
      </c>
      <c r="AG49" s="22" t="n">
        <v>0.059</v>
      </c>
      <c r="AH49" s="21" t="n">
        <v>8.5</v>
      </c>
      <c r="AI49" s="22" t="n"/>
      <c r="AJ49" s="21" t="n"/>
      <c r="AM49" s="22" t="n"/>
      <c r="AO49" s="22" t="n"/>
      <c r="AP49" s="21" t="n"/>
    </row>
    <row r="50">
      <c r="M50">
        <f>IF([@Asset Class]="Bonds",[@[Quantity / Nominal]]*[@[Purchase Price]]/100,[@[Quantity / Nominal]]*[@[Purchase Price]])+[@[Purchase Fees]]+[@[Other Purchase Costs]]</f>
        <v/>
      </c>
      <c r="O50">
        <f>IF([@Status]="Open",IF([@Asset Class]="Bonds",[@[Quantity / Nominal]]*[@[Current Price]]/100,[@[Quantity / Nominal]]*[@[Current Price]]),0)</f>
        <v/>
      </c>
      <c r="P50">
        <f>IF([@Status]="Open",[@[Current Market Value]]*IF([@[FX to EUR]]="",1,[@[FX to EUR]]),0)</f>
        <v/>
      </c>
      <c r="Q50">
        <f>IF([@Status]="Open",[@[Value (EUR)]]-[@[Total Cost Basis]]*IF([@[FX to EUR]]="",1,[@[FX to EUR]]),0)</f>
        <v/>
      </c>
      <c r="R50">
        <f>IF([@[Total Cost Basis]]=0,0,IF([@Status]="Open",[@[Unrealized P/L (€)]]/([@[Total Cost Basis]]*IF([@[FX to EUR]]="",1,[@[FX to EUR]])),0))</f>
        <v/>
      </c>
      <c r="V50">
        <f>IF([@Status]="Closed",IF([@Asset Class]="Bonds",[@[Quantity / Nominal]]*[@[Sale Price]]/100,[@[Quantity / Nominal]]*[@[Sale Price]])-[@[Sale Fees]],0)</f>
        <v/>
      </c>
      <c r="W50">
        <f>IF([@Status]="Closed",[@[Net Sale Proceeds]]-[@[Total Cost Basis]]*IF([@[FX to EUR]]="",1,[@[FX to EUR]]),0)</f>
        <v/>
      </c>
      <c r="X50">
        <f>IF([@[Total Cost Basis]]=0,0,IF([@Status]="Closed",[@[Realized P/L (€)]]/([@[Total Cost Basis]]*IF([@[FX to EUR]]="",1,[@[FX to EUR]])),0))</f>
        <v/>
      </c>
      <c r="Y50">
        <f>IF([@[Sale Date]]="","Open","Closed")</f>
        <v/>
      </c>
    </row>
    <row r="51">
      <c r="M51">
        <f>IF([@Asset Class]="Bonds",[@[Quantity / Nominal]]*[@[Purchase Price]]/100,[@[Quantity / Nominal]]*[@[Purchase Price]])+[@[Purchase Fees]]+[@[Other Purchase Costs]]</f>
        <v/>
      </c>
      <c r="O51">
        <f>IF([@Status]="Open",IF([@Asset Class]="Bonds",[@[Quantity / Nominal]]*[@[Current Price]]/100,[@[Quantity / Nominal]]*[@[Current Price]]),0)</f>
        <v/>
      </c>
      <c r="P51">
        <f>IF([@Status]="Open",[@[Current Market Value]]*IF([@[FX to EUR]]="",1,[@[FX to EUR]]),0)</f>
        <v/>
      </c>
      <c r="Q51">
        <f>IF([@Status]="Open",[@[Value (EUR)]]-[@[Total Cost Basis]]*IF([@[FX to EUR]]="",1,[@[FX to EUR]]),0)</f>
        <v/>
      </c>
      <c r="R51">
        <f>IF([@[Total Cost Basis]]=0,0,IF([@Status]="Open",[@[Unrealized P/L (€)]]/([@[Total Cost Basis]]*IF([@[FX to EUR]]="",1,[@[FX to EUR]])),0))</f>
        <v/>
      </c>
      <c r="V51">
        <f>IF([@Status]="Closed",IF([@Asset Class]="Bonds",[@[Quantity / Nominal]]*[@[Sale Price]]/100,[@[Quantity / Nominal]]*[@[Sale Price]])-[@[Sale Fees]],0)</f>
        <v/>
      </c>
      <c r="W51">
        <f>IF([@Status]="Closed",[@[Net Sale Proceeds]]-[@[Total Cost Basis]]*IF([@[FX to EUR]]="",1,[@[FX to EUR]]),0)</f>
        <v/>
      </c>
      <c r="X51">
        <f>IF([@[Total Cost Basis]]=0,0,IF([@Status]="Closed",[@[Realized P/L (€)]]/([@[Total Cost Basis]]*IF([@[FX to EUR]]="",1,[@[FX to EUR]])),0))</f>
        <v/>
      </c>
      <c r="Y51">
        <f>IF([@[Sale Date]]="","Open","Closed")</f>
        <v/>
      </c>
    </row>
    <row r="52">
      <c r="M52">
        <f>IF([@Asset Class]="Bonds",[@[Quantity / Nominal]]*[@[Purchase Price]]/100,[@[Quantity / Nominal]]*[@[Purchase Price]])+[@[Purchase Fees]]+[@[Other Purchase Costs]]</f>
        <v/>
      </c>
      <c r="O52">
        <f>IF([@Status]="Open",IF([@Asset Class]="Bonds",[@[Quantity / Nominal]]*[@[Current Price]]/100,[@[Quantity / Nominal]]*[@[Current Price]]),0)</f>
        <v/>
      </c>
      <c r="P52">
        <f>IF([@Status]="Open",[@[Current Market Value]]*IF([@[FX to EUR]]="",1,[@[FX to EUR]]),0)</f>
        <v/>
      </c>
      <c r="Q52">
        <f>IF([@Status]="Open",[@[Value (EUR)]]-[@[Total Cost Basis]]*IF([@[FX to EUR]]="",1,[@[FX to EUR]]),0)</f>
        <v/>
      </c>
      <c r="R52">
        <f>IF([@[Total Cost Basis]]=0,0,IF([@Status]="Open",[@[Unrealized P/L (€)]]/([@[Total Cost Basis]]*IF([@[FX to EUR]]="",1,[@[FX to EUR]])),0))</f>
        <v/>
      </c>
      <c r="V52">
        <f>IF([@Status]="Closed",IF([@Asset Class]="Bonds",[@[Quantity / Nominal]]*[@[Sale Price]]/100,[@[Quantity / Nominal]]*[@[Sale Price]])-[@[Sale Fees]],0)</f>
        <v/>
      </c>
      <c r="W52">
        <f>IF([@Status]="Closed",[@[Net Sale Proceeds]]-[@[Total Cost Basis]]*IF([@[FX to EUR]]="",1,[@[FX to EUR]]),0)</f>
        <v/>
      </c>
      <c r="X52">
        <f>IF([@[Total Cost Basis]]=0,0,IF([@Status]="Closed",[@[Realized P/L (€)]]/([@[Total Cost Basis]]*IF([@[FX to EUR]]="",1,[@[FX to EUR]])),0))</f>
        <v/>
      </c>
      <c r="Y52">
        <f>IF([@[Sale Date]]="","Open","Closed")</f>
        <v/>
      </c>
    </row>
    <row r="53">
      <c r="M53">
        <f>IF([@Asset Class]="Bonds",[@[Quantity / Nominal]]*[@[Purchase Price]]/100,[@[Quantity / Nominal]]*[@[Purchase Price]])+[@[Purchase Fees]]+[@[Other Purchase Costs]]</f>
        <v/>
      </c>
      <c r="O53">
        <f>IF([@Status]="Open",IF([@Asset Class]="Bonds",[@[Quantity / Nominal]]*[@[Current Price]]/100,[@[Quantity / Nominal]]*[@[Current Price]]),0)</f>
        <v/>
      </c>
      <c r="P53">
        <f>IF([@Status]="Open",[@[Current Market Value]]*IF([@[FX to EUR]]="",1,[@[FX to EUR]]),0)</f>
        <v/>
      </c>
      <c r="Q53">
        <f>IF([@Status]="Open",[@[Value (EUR)]]-[@[Total Cost Basis]]*IF([@[FX to EUR]]="",1,[@[FX to EUR]]),0)</f>
        <v/>
      </c>
      <c r="R53">
        <f>IF([@[Total Cost Basis]]=0,0,IF([@Status]="Open",[@[Unrealized P/L (€)]]/([@[Total Cost Basis]]*IF([@[FX to EUR]]="",1,[@[FX to EUR]])),0))</f>
        <v/>
      </c>
      <c r="V53">
        <f>IF([@Status]="Closed",IF([@Asset Class]="Bonds",[@[Quantity / Nominal]]*[@[Sale Price]]/100,[@[Quantity / Nominal]]*[@[Sale Price]])-[@[Sale Fees]],0)</f>
        <v/>
      </c>
      <c r="W53">
        <f>IF([@Status]="Closed",[@[Net Sale Proceeds]]-[@[Total Cost Basis]]*IF([@[FX to EUR]]="",1,[@[FX to EUR]]),0)</f>
        <v/>
      </c>
      <c r="X53">
        <f>IF([@[Total Cost Basis]]=0,0,IF([@Status]="Closed",[@[Realized P/L (€)]]/([@[Total Cost Basis]]*IF([@[FX to EUR]]="",1,[@[FX to EUR]])),0))</f>
        <v/>
      </c>
      <c r="Y53">
        <f>IF([@[Sale Date]]="","Open","Closed")</f>
        <v/>
      </c>
    </row>
  </sheetData>
  <mergeCells count="6">
    <mergeCell ref="A2:F2"/>
    <mergeCell ref="A1:J1"/>
    <mergeCell ref="A9:J9"/>
    <mergeCell ref="A23:F23"/>
    <mergeCell ref="A3:C3"/>
    <mergeCell ref="A13:J13"/>
  </mergeCells>
  <conditionalFormatting sqref="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1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5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E16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F16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G1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E1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F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G1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E18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F18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G18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E1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1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1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E2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F2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G2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E2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F2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G2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B27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C27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D27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E27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F27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B28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C28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D28"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E28"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F28"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B29"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C29"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D29">
    <cfRule type="cellIs" priority="71" operator="greaterThan" dxfId="0">
      <formula>0</formula>
    </cfRule>
    <cfRule type="cellIs" priority="72" operator="lessThan" dxfId="1">
      <formula>0</formula>
    </cfRule>
  </conditionalFormatting>
  <conditionalFormatting sqref="E29"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F29"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Q49:Q53"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R49:R53"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W49:W53"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X49:X53">
    <cfRule type="cellIs" priority="83" operator="greaterThan" dxfId="0">
      <formula>0</formula>
    </cfRule>
    <cfRule type="cellIs" priority="84" operator="lessThan" dxfId="1">
      <formula>0</formula>
    </cfRule>
  </conditionalFormatting>
  <dataValidations count="3">
    <dataValidation sqref="C5" showDropDown="0" showInputMessage="0" showErrorMessage="0" allowBlank="0" type="list">
      <formula1>=Config!$C$2:$C$7</formula1>
    </dataValidation>
    <dataValidation sqref="C6" showDropDown="0" showInputMessage="0" showErrorMessage="0" allowBlank="0" type="list">
      <formula1>=Config!$E$2:$E$8</formula1>
    </dataValidation>
    <dataValidation sqref="A49:A53" showDropDown="0" showInputMessage="0" showErrorMessage="0" allowBlank="1" type="list">
      <formula1>=Config!$E$3:$E$8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Portfolio Tracker</dc:creator>
  <dc:title>Investment Portfolio Tracker</dc:title>
  <dcterms:created xsi:type="dcterms:W3CDTF">2026-07-25T14:45:58Z</dcterms:created>
  <dcterms:modified xsi:type="dcterms:W3CDTF">2026-07-25T14:45:58Z</dcterms:modified>
</cp:coreProperties>
</file>