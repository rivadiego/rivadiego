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fig" sheetId="1" state="hidden" r:id="rId1"/>
    <sheet name="Summary" sheetId="2" state="visible" r:id="rId2"/>
    <sheet name="ISP" sheetId="3" state="visible" r:id="rId3"/>
    <sheet name="Barclays" sheetId="4" state="visible" r:id="rId4"/>
    <sheet name="Interactive Brok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.00&quot; €&quot;"/>
  </numFmts>
  <fonts count="7">
    <font>
      <name val="Calibri"/>
      <family val="2"/>
      <color theme="1"/>
      <sz val="11"/>
      <scheme val="minor"/>
    </font>
    <font>
      <name val="Calibri"/>
      <b val="1"/>
      <color rgb="001F3864"/>
      <sz val="11"/>
    </font>
    <font>
      <name val="Calibri"/>
      <color rgb="00404040"/>
      <sz val="10"/>
    </font>
    <font>
      <name val="Calibri"/>
      <b val="1"/>
      <color rgb="001F3864"/>
      <sz val="14"/>
    </font>
    <font>
      <name val="Calibri"/>
      <color rgb="00595959"/>
      <sz val="10"/>
    </font>
    <font>
      <name val="Calibri"/>
      <b val="1"/>
      <color rgb="001F3864"/>
      <sz val="10"/>
    </font>
    <font>
      <name val="Calibri"/>
      <b val="1"/>
      <color rgb="00FFFFFF"/>
      <sz val="9"/>
    </font>
  </fonts>
  <fills count="5">
    <fill>
      <patternFill/>
    </fill>
    <fill>
      <patternFill patternType="gray125"/>
    </fill>
    <fill>
      <patternFill patternType="solid">
        <fgColor rgb="00FFFDF5"/>
      </patternFill>
    </fill>
    <fill>
      <patternFill patternType="solid">
        <fgColor rgb="00EEF2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164" fontId="0" fillId="2" borderId="1" pivotButton="0" quotePrefix="0" xfId="0"/>
    <xf numFmtId="0" fontId="1" fillId="3" borderId="0" pivotButton="0" quotePrefix="0" xfId="0"/>
    <xf numFmtId="0" fontId="4" fillId="0" borderId="1" pivotButton="0" quotePrefix="0" xfId="0"/>
    <xf numFmtId="165" fontId="5" fillId="0" borderId="1" pivotButton="0" quotePrefix="0" xfId="0"/>
    <xf numFmtId="10" fontId="5" fillId="0" borderId="1" pivotButton="0" quotePrefix="0" xfId="0"/>
    <xf numFmtId="3" fontId="5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</dxf>
    <dxf>
      <font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Accounts" displayName="tblAccounts" ref="A1:A4" headerRowCount="1">
  <autoFilter ref="A1:A4"/>
  <tableColumns count="1">
    <tableColumn id="1" name="Account N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ISP" displayName="tbl_ISP" ref="A24:AN28" headerRowCount="1">
  <autoFilter ref="A24:AN28"/>
  <tableColumns count="40">
    <tableColumn id="1" name="Asset Class"/>
    <tableColumn id="2" name="ISIN"/>
    <tableColumn id="3" name="Ticker"/>
    <tableColumn id="4" name="Security Name"/>
    <tableColumn id="5" name="Issuer"/>
    <tableColumn id="6" name="Currency"/>
    <tableColumn id="7" name="Purchase Date"/>
    <tableColumn id="8" name="Purchase Price"/>
    <tableColumn id="9" name="Quantity / Nominal"/>
    <tableColumn id="10" name="Purchase Fees"/>
    <tableColumn id="11" name="Other Purchase Costs"/>
    <tableColumn id="12" name="Total Cost Basis"/>
    <tableColumn id="13" name="Current Price"/>
    <tableColumn id="14" name="Current Market Value"/>
    <tableColumn id="15" name="Unrealized P/L (€)"/>
    <tableColumn id="16" name="Unrealized P/L (%)"/>
    <tableColumn id="17" name="Sale Date"/>
    <tableColumn id="18" name="Sale Price"/>
    <tableColumn id="19" name="Sale Fees"/>
    <tableColumn id="20" name="Net Sale Proceeds"/>
    <tableColumn id="21" name="Realized P/L (€)"/>
    <tableColumn id="22" name="Realized P/L (%)"/>
    <tableColumn id="23" name="Status"/>
    <tableColumn id="24" name="Notes"/>
    <tableColumn id="25" name="Income Date"/>
    <tableColumn id="26" name="Coupon %"/>
    <tableColumn id="27" name="Coupon Frequency"/>
    <tableColumn id="28" name="Coupon Payment Dates"/>
    <tableColumn id="29" name="Coupons Received"/>
    <tableColumn id="30" name="Maturity Date"/>
    <tableColumn id="31" name="Yield to Maturity"/>
    <tableColumn id="32" name="Duration"/>
    <tableColumn id="33" name="Dividend Yield"/>
    <tableColumn id="34" name="Dividends Received"/>
    <tableColumn id="35" name="Exchange"/>
    <tableColumn id="36" name="Distribution Type"/>
    <tableColumn id="37" name="TER"/>
    <tableColumn id="38" name="Benchmark Index"/>
    <tableColumn id="39" name="Interest Rate"/>
    <tableColumn id="40" name="Interest Receiv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Barclays" displayName="tbl_Barclays" ref="A24:AN28" headerRowCount="1">
  <autoFilter ref="A24:AN28"/>
  <tableColumns count="40">
    <tableColumn id="1" name="Asset Class"/>
    <tableColumn id="2" name="ISIN"/>
    <tableColumn id="3" name="Ticker"/>
    <tableColumn id="4" name="Security Name"/>
    <tableColumn id="5" name="Issuer"/>
    <tableColumn id="6" name="Currency"/>
    <tableColumn id="7" name="Purchase Date"/>
    <tableColumn id="8" name="Purchase Price"/>
    <tableColumn id="9" name="Quantity / Nominal"/>
    <tableColumn id="10" name="Purchase Fees"/>
    <tableColumn id="11" name="Other Purchase Costs"/>
    <tableColumn id="12" name="Total Cost Basis"/>
    <tableColumn id="13" name="Current Price"/>
    <tableColumn id="14" name="Current Market Value"/>
    <tableColumn id="15" name="Unrealized P/L (€)"/>
    <tableColumn id="16" name="Unrealized P/L (%)"/>
    <tableColumn id="17" name="Sale Date"/>
    <tableColumn id="18" name="Sale Price"/>
    <tableColumn id="19" name="Sale Fees"/>
    <tableColumn id="20" name="Net Sale Proceeds"/>
    <tableColumn id="21" name="Realized P/L (€)"/>
    <tableColumn id="22" name="Realized P/L (%)"/>
    <tableColumn id="23" name="Status"/>
    <tableColumn id="24" name="Notes"/>
    <tableColumn id="25" name="Income Date"/>
    <tableColumn id="26" name="Coupon %"/>
    <tableColumn id="27" name="Coupon Frequency"/>
    <tableColumn id="28" name="Coupon Payment Dates"/>
    <tableColumn id="29" name="Coupons Received"/>
    <tableColumn id="30" name="Maturity Date"/>
    <tableColumn id="31" name="Yield to Maturity"/>
    <tableColumn id="32" name="Duration"/>
    <tableColumn id="33" name="Dividend Yield"/>
    <tableColumn id="34" name="Dividends Received"/>
    <tableColumn id="35" name="Exchange"/>
    <tableColumn id="36" name="Distribution Type"/>
    <tableColumn id="37" name="TER"/>
    <tableColumn id="38" name="Benchmark Index"/>
    <tableColumn id="39" name="Interest Rate"/>
    <tableColumn id="40" name="Interest Receiv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teractive_Brokers" displayName="tbl_Interactive_Brokers" ref="A24:AN28" headerRowCount="1">
  <autoFilter ref="A24:AN28"/>
  <tableColumns count="40">
    <tableColumn id="1" name="Asset Class"/>
    <tableColumn id="2" name="ISIN"/>
    <tableColumn id="3" name="Ticker"/>
    <tableColumn id="4" name="Security Name"/>
    <tableColumn id="5" name="Issuer"/>
    <tableColumn id="6" name="Currency"/>
    <tableColumn id="7" name="Purchase Date"/>
    <tableColumn id="8" name="Purchase Price"/>
    <tableColumn id="9" name="Quantity / Nominal"/>
    <tableColumn id="10" name="Purchase Fees"/>
    <tableColumn id="11" name="Other Purchase Costs"/>
    <tableColumn id="12" name="Total Cost Basis"/>
    <tableColumn id="13" name="Current Price"/>
    <tableColumn id="14" name="Current Market Value"/>
    <tableColumn id="15" name="Unrealized P/L (€)"/>
    <tableColumn id="16" name="Unrealized P/L (%)"/>
    <tableColumn id="17" name="Sale Date"/>
    <tableColumn id="18" name="Sale Price"/>
    <tableColumn id="19" name="Sale Fees"/>
    <tableColumn id="20" name="Net Sale Proceeds"/>
    <tableColumn id="21" name="Realized P/L (€)"/>
    <tableColumn id="22" name="Realized P/L (%)"/>
    <tableColumn id="23" name="Status"/>
    <tableColumn id="24" name="Notes"/>
    <tableColumn id="25" name="Income Date"/>
    <tableColumn id="26" name="Coupon %"/>
    <tableColumn id="27" name="Coupon Frequency"/>
    <tableColumn id="28" name="Coupon Payment Dates"/>
    <tableColumn id="29" name="Coupons Received"/>
    <tableColumn id="30" name="Maturity Date"/>
    <tableColumn id="31" name="Yield to Maturity"/>
    <tableColumn id="32" name="Duration"/>
    <tableColumn id="33" name="Dividend Yield"/>
    <tableColumn id="34" name="Dividends Received"/>
    <tableColumn id="35" name="Exchange"/>
    <tableColumn id="36" name="Distribution Type"/>
    <tableColumn id="37" name="TER"/>
    <tableColumn id="38" name="Benchmark Index"/>
    <tableColumn id="39" name="Interest Rate"/>
    <tableColumn id="40" name="Interest Recei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3" max="3"/>
    <col width="16" customWidth="1" min="5" max="5"/>
    <col width="72" customWidth="1" min="7" max="7"/>
  </cols>
  <sheetData>
    <row r="1">
      <c r="A1" s="1" t="inlineStr">
        <is>
          <t>Account Name</t>
        </is>
      </c>
      <c r="C1" s="1" t="inlineStr">
        <is>
          <t>Period Options</t>
        </is>
      </c>
      <c r="E1" s="1" t="inlineStr">
        <is>
          <t>Asset Class Options</t>
        </is>
      </c>
      <c r="G1" s="1" t="inlineStr">
        <is>
          <t>Instructions</t>
        </is>
      </c>
    </row>
    <row r="2">
      <c r="A2" t="inlineStr">
        <is>
          <t>ISP</t>
        </is>
      </c>
      <c r="C2" t="inlineStr">
        <is>
          <t>Current Month</t>
        </is>
      </c>
      <c r="E2" t="inlineStr">
        <is>
          <t>All</t>
        </is>
      </c>
      <c r="G2" s="2" t="inlineStr">
        <is>
          <t>1. Add a new account name to tblAccounts, then duplicate any account sheet.</t>
        </is>
      </c>
    </row>
    <row r="3">
      <c r="A3" t="inlineStr">
        <is>
          <t>Barclays</t>
        </is>
      </c>
      <c r="C3" t="inlineStr">
        <is>
          <t>Current Quarter</t>
        </is>
      </c>
      <c r="E3" t="inlineStr">
        <is>
          <t>Bonds</t>
        </is>
      </c>
      <c r="G3" s="2" t="inlineStr">
        <is>
          <t>2. Rename the duplicated sheet to match the new account name exactly.</t>
        </is>
      </c>
    </row>
    <row r="4">
      <c r="A4" t="inlineStr">
        <is>
          <t>Interactive Brokers</t>
        </is>
      </c>
      <c r="C4" t="inlineStr">
        <is>
          <t>Current Year</t>
        </is>
      </c>
      <c r="E4" t="inlineStr">
        <is>
          <t>Stocks</t>
        </is>
      </c>
      <c r="G4" s="2" t="inlineStr">
        <is>
          <t>3. Update the sheet title — all Summary formulas read account names from tblAccounts.</t>
        </is>
      </c>
    </row>
    <row r="5">
      <c r="C5" t="inlineStr">
        <is>
          <t>Previous Year</t>
        </is>
      </c>
      <c r="E5" t="inlineStr">
        <is>
          <t>ETFs</t>
        </is>
      </c>
      <c r="G5" s="2" t="inlineStr">
        <is>
          <t>4. Enter investments in each account's Master Investment Table only.</t>
        </is>
      </c>
    </row>
    <row r="6">
      <c r="C6" t="inlineStr">
        <is>
          <t>Since Inception</t>
        </is>
      </c>
      <c r="E6" t="inlineStr">
        <is>
          <t>Funds</t>
        </is>
      </c>
      <c r="G6" s="2" t="inlineStr">
        <is>
          <t>5. Update Current Price periodically — all KPIs refresh automatically.</t>
        </is>
      </c>
    </row>
    <row r="7">
      <c r="C7" t="inlineStr">
        <is>
          <t>Custom</t>
        </is>
      </c>
      <c r="E7" t="inlineStr">
        <is>
          <t>Cash</t>
        </is>
      </c>
      <c r="G7" s="2" t="inlineStr">
        <is>
          <t>6. Use Income Date when recording coupons, dividends, or interest for period filters.</t>
        </is>
      </c>
    </row>
    <row r="8">
      <c r="E8" t="inlineStr">
        <is>
          <t>Other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3" t="inlineStr">
        <is>
          <t>Portfolio Summary</t>
        </is>
      </c>
    </row>
    <row r="3">
      <c r="A3" s="1" t="inlineStr">
        <is>
          <t>Filters</t>
        </is>
      </c>
    </row>
    <row r="4">
      <c r="A4" s="2" t="inlineStr">
        <is>
          <t>Period</t>
        </is>
      </c>
      <c r="B4" s="4" t="inlineStr">
        <is>
          <t>Since Inception</t>
        </is>
      </c>
    </row>
    <row r="5">
      <c r="A5" s="2" t="inlineStr">
        <is>
          <t>Asset Class</t>
        </is>
      </c>
      <c r="B5" s="4" t="inlineStr">
        <is>
          <t>All</t>
        </is>
      </c>
    </row>
    <row r="6">
      <c r="A6" s="2" t="inlineStr">
        <is>
          <t>Custom Start</t>
        </is>
      </c>
      <c r="B6" s="5" t="inlineStr"/>
    </row>
    <row r="7">
      <c r="A7" s="2" t="inlineStr">
        <is>
          <t>Custom End</t>
        </is>
      </c>
      <c r="B7" s="5" t="inlineStr"/>
    </row>
    <row r="9">
      <c r="A9" s="6" t="inlineStr">
        <is>
          <t>Portfolio KPIs</t>
        </is>
      </c>
    </row>
    <row r="11">
      <c r="A11" s="7" t="inlineStr">
        <is>
          <t>Current Portfolio Value</t>
        </is>
      </c>
      <c r="B11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Name],LAMBDA(acct,IFERROR(SUM(FILTER(INDIRECT("'"&amp;acct&amp;"'!tbl_"&amp;SUBSTITUTE(acct," ","_")&amp;"[Current Market Value]"),((acSel="All")+(INDIRECT("'"&amp;acct&amp;"'!tbl_"&amp;SUBSTITUTE(acct,"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12">
      <c r="A12" s="7" t="inlineStr">
        <is>
          <t>Total Invested Capital</t>
        </is>
      </c>
      <c r="B12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Date]")&gt;=pStart)*(INDIRECT("'"&amp;acct&amp;"'!tbl_"&amp;SUBSTITUTE(acct," ","_")&amp;"[Purchase Date]")&lt;=pEnd))),0)))),0))</f>
        <v/>
      </c>
    </row>
    <row r="13">
      <c r="A13" s="7" t="inlineStr">
        <is>
          <t>Unrealized P/L (€)</t>
        </is>
      </c>
      <c r="B13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14">
      <c r="A14" s="7" t="inlineStr">
        <is>
          <t>Unrealized P/L (%)</t>
        </is>
      </c>
      <c r="B14" s="9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Inception",DATE(9999,12,31),"Custom",cEnd,DATE(9999,12,31)),IFERROR(IF(SUM(BYROW(tblAccounts[Account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Date]")&gt;pEnd)))),0))))=0,0,SUM(BYROW(tblAccounts[Account Name],LAMBDA(acct,IFERROR(SUM(FILTER(INDIRECT("'"&amp;acct&amp;"'!tbl_"&amp;SUBSTITUTE(acct," ","_")&amp;"[Unrealized P/L (€)]"),((acSel="All")+(INDIRECT("'"&amp;acct&amp;"'!tbl_"&amp;SUBSTITUTE(acct,"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Date]")&gt;pEnd)))),0))))/SUM(BYROW(tblAccounts[Account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Date]")&gt;pEnd)))),0))))),0))</f>
        <v/>
      </c>
    </row>
    <row r="15">
      <c r="A15" s="7" t="inlineStr">
        <is>
          <t>Realized P/L (€)</t>
        </is>
      </c>
      <c r="B15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</row>
    <row r="16">
      <c r="A16" s="7" t="inlineStr">
        <is>
          <t>Realized P/L (%)</t>
        </is>
      </c>
      <c r="B16" s="9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Inception",DATE(9999,12,31),"Custom",cEnd,DATE(9999,12,31)),IFERROR(IF(SUM(BYROW(tblAccounts[Account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Date]")&lt;&gt;""))),0))))=0,0,SUM(BYROW(tblAccounts[Account Name],LAMBDA(acct,IFERROR(SUM(FILTER(INDIRECT("'"&amp;acct&amp;"'!tbl_"&amp;SUBSTITUTE(acct," ","_")&amp;"[Realized P/L (€)]"),((acSel="All")+(INDIRECT("'"&amp;acct&amp;"'!tbl_"&amp;SUBSTITUTE(acct,"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Date]")&lt;&gt;""))),0))))/SUM(BYROW(tblAccounts[Account Name],LAMBDA(acct,IFERROR(SUM(FILTER(INDIRECT("'"&amp;acct&amp;"'!tbl_"&amp;SUBSTITUTE(acct," ","_")&amp;"[Total Cost Basis]"),((acSel="All")+(INDIRECT("'"&amp;acct&amp;"'!tbl_"&amp;SUBSTITUTE(acct," ","_")&amp;"[Asset Class]")=acSel))*(INDIRECT("'"&amp;acct&amp;"'!tbl_"&amp;SUBSTITUTE(acct,"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Date]")&lt;&gt;""))),0))))),0))</f>
        <v/>
      </c>
    </row>
    <row r="17">
      <c r="A17" s="7" t="inlineStr">
        <is>
          <t>Total Cash</t>
        </is>
      </c>
      <c r="B17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Name],LAMBDA(acct,IFERROR(SUM(FILTER(INDIRECT("'"&amp;acct&amp;"'!tbl_"&amp;SUBSTITUTE(acct," ","_")&amp;"[Current Market Value]"),INDIRECT("'"&amp;acct&amp;"'!tbl_"&amp;SUBSTITUTE(acct," ","_")&amp;"[Asset Class]")="Cash"*(INDIRECT("'"&amp;acct&amp;"'!tbl_"&amp;SUBSTITUTE(acct,"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18">
      <c r="A18" s="7" t="inlineStr">
        <is>
          <t>Coupons Received</t>
        </is>
      </c>
      <c r="B18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Name],LAMBDA(acct,IFERROR(IF(pSel="Since Inception",SUM(FILTER(INDIRECT("'"&amp;acct&amp;"'!tbl_"&amp;SUBSTITUTE(acct," ","_")&amp;"[Coupons Received]"),(acSel="All")+(INDIRECT("'"&amp;acct&amp;"'!tbl_"&amp;SUBSTITUTE(acct," ","_")&amp;"[Asset Class]")=acSel))),SUM(FILTER(INDIRECT("'"&amp;acct&amp;"'!tbl_"&amp;SUBSTITUTE(acct," ","_")&amp;"[Coupons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Date]")&lt;&gt;"")))),0)))),0))</f>
        <v/>
      </c>
    </row>
    <row r="19">
      <c r="A19" s="7" t="inlineStr">
        <is>
          <t>Dividends Received</t>
        </is>
      </c>
      <c r="B19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Name],LAMBDA(acct,IFERROR(IF(pSel="Since Inception",SUM(FILTER(INDIRECT("'"&amp;acct&amp;"'!tbl_"&amp;SUBSTITUTE(acct," ","_")&amp;"[Dividends Received]"),(acSel="All")+(INDIRECT("'"&amp;acct&amp;"'!tbl_"&amp;SUBSTITUTE(acct," ","_")&amp;"[Asset Class]")=acSel)))+SUM(FILTER(INDIRECT("'"&amp;acct&amp;"'!tbl_"&amp;SUBSTITUTE(acct," ","_")&amp;"[Interest Received]"),(acSel="All")+(INDIRECT("'"&amp;acct&amp;"'!tbl_"&amp;SUBSTITUTE(acct," ","_")&amp;"[Asset Class]")=acSel))),SUM(FILTER(INDIRECT("'"&amp;acct&amp;"'!tbl_"&amp;SUBSTITUTE(acct," ","_")&amp;"[Dividends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Date]")&lt;&gt;"")))+SUM(FILTER(INDIRECT("'"&amp;acct&amp;"'!tbl_"&amp;SUBSTITUTE(acct," ","_")&amp;"[Interest Received]"),((acSel="All")+(INDIRECT("'"&amp;acct&amp;"'!tbl_"&amp;SUBSTITUTE(acct," ","_")&amp;"[Asset Class]")=acSel))*(INDIRECT("'"&amp;acct&amp;"'!tbl_"&amp;SUBSTITUTE(acct," ","_")&amp;"[Income Date]")&gt;=pStart)*(INDIRECT("'"&amp;acct&amp;"'!tbl_"&amp;SUBSTITUTE(acct," ","_")&amp;"[Income Date]")&lt;=pEnd)*(INDIRECT("'"&amp;acct&amp;"'!tbl_"&amp;SUBSTITUTE(acct," ","_")&amp;"[Income Date]")&lt;&gt;"")))),0)))),0))</f>
        <v/>
      </c>
    </row>
    <row r="20">
      <c r="A20" s="7" t="inlineStr">
        <is>
          <t>Number of Open Positions</t>
        </is>
      </c>
      <c r="B20" s="10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Name],LAMBDA(acct,IFERROR(ROWS(FILTER(INDIRECT("'"&amp;acct&amp;"'!tbl_"&amp;SUBSTITUTE(acct," ","_")&amp;"[Asset Class]"),((acSel="All")+(INDIRECT("'"&amp;acct&amp;"'!tbl_"&amp;SUBSTITUTE(acct," ","_")&amp;"[Asset Class]")=acSel))*INDIRECT("'"&amp;acct&amp;"'!tbl_"&amp;SUBSTITUTE(acct," ","_")&amp;"[Status]")="Open"*(INDIRECT("'"&amp;acct&amp;"'!tbl_"&amp;SUBSTITUTE(acct," ","_")&amp;"[Purchase Date]")&lt;&gt;"")*(INDIRECT("'"&amp;acct&amp;"'!tbl_"&amp;SUBSTITUTE(acct," ","_")&amp;"[Purchase Date]")&lt;=pEnd)*((INDIRECT("'"&amp;acct&amp;"'!tbl_"&amp;SUBSTITUTE(acct," ","_")&amp;"[Sale Date]")="")+(INDIRECT("'"&amp;acct&amp;"'!tbl_"&amp;SUBSTITUTE(acct," ","_")&amp;"[Sale Date]")&gt;pEnd)))),0)))),0))</f>
        <v/>
      </c>
    </row>
    <row r="21">
      <c r="A21" s="7" t="inlineStr">
        <is>
          <t>Number of Closed Positions</t>
        </is>
      </c>
      <c r="B21" s="10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Inception",DATE(9999,12,31),"Custom",cEnd,DATE(9999,12,31)),IFERROR(SUM(BYROW(tblAccounts[Account Name],LAMBDA(acct,IFERROR(ROWS(FILTER(INDIRECT("'"&amp;acct&amp;"'!tbl_"&amp;SUBSTITUTE(acct," ","_")&amp;"[Asset Class]"),((acSel="All")+(INDIRECT("'"&amp;acct&amp;"'!tbl_"&amp;SUBSTITUTE(acct," ","_")&amp;"[Asset Class]")=acSel))*INDIRECT("'"&amp;acct&amp;"'!tbl_"&amp;SUBSTITUTE(acct," ","_")&amp;"[Status]")="Closed"*(INDIRECT("'"&amp;acct&amp;"'!tbl_"&amp;SUBSTITUTE(acct," ","_")&amp;"[Sale Date]")&gt;=pStart)*(INDIRECT("'"&amp;acct&amp;"'!tbl_"&amp;SUBSTITUTE(acct," ","_")&amp;"[Sale Date]")&lt;=pEnd)*(INDIRECT("'"&amp;acct&amp;"'!tbl_"&amp;SUBSTITUTE(acct," ","_")&amp;"[Sale Date]")&lt;&gt;""))),0)))),0))</f>
        <v/>
      </c>
    </row>
  </sheetData>
  <mergeCells count="2">
    <mergeCell ref="A9:B9"/>
    <mergeCell ref="A1:D1"/>
  </mergeCells>
  <conditionalFormatting sqref="B1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1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dataValidations count="2">
    <dataValidation sqref="B5" showDropDown="0" showInputMessage="0" showErrorMessage="0" allowBlank="0" error="Select a valid period." prompt="Filter KPIs by reporting period." type="list">
      <formula1>=Config!$C$2:$C$7</formula1>
    </dataValidation>
    <dataValidation sqref="B6" showDropDown="0" showInputMessage="0" showErrorMessage="0" allowBlank="0" error="Select a valid asset class." type="list">
      <formula1>=Config!$E$2:$E$8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8"/>
  <sheetViews>
    <sheetView showGridLines="0"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5" customWidth="1" min="7" max="7"/>
    <col width="16" customWidth="1" min="8" max="8"/>
    <col width="20" customWidth="1" min="9" max="9"/>
    <col width="15" customWidth="1" min="10" max="10"/>
    <col width="22" customWidth="1" min="11" max="11"/>
    <col width="18" customWidth="1" min="12" max="12"/>
    <col width="15" customWidth="1" min="13" max="13"/>
    <col width="22" customWidth="1" min="14" max="14"/>
    <col width="20" customWidth="1" min="15" max="15"/>
    <col width="20" customWidth="1" min="16" max="16"/>
    <col width="12" customWidth="1" min="17" max="17"/>
    <col width="12" customWidth="1" min="18" max="18"/>
    <col width="12" customWidth="1" min="19" max="19"/>
    <col width="19" customWidth="1" min="20" max="20"/>
    <col width="18" customWidth="1" min="21" max="21"/>
    <col width="18" customWidth="1" min="22" max="22"/>
    <col width="12" customWidth="1" min="23" max="23"/>
    <col width="12" customWidth="1" min="24" max="24"/>
    <col width="13" customWidth="1" min="25" max="25"/>
    <col width="12" customWidth="1" min="26" max="26"/>
    <col width="18" customWidth="1" min="27" max="27"/>
    <col width="22" customWidth="1" min="28" max="28"/>
    <col width="18" customWidth="1" min="29" max="29"/>
    <col width="15" customWidth="1" min="30" max="30"/>
    <col width="19" customWidth="1" min="31" max="31"/>
    <col width="12" customWidth="1" min="32" max="32"/>
    <col width="16" customWidth="1" min="33" max="33"/>
    <col width="20" customWidth="1" min="34" max="34"/>
    <col width="12" customWidth="1" min="35" max="35"/>
    <col width="19" customWidth="1" min="36" max="36"/>
    <col width="12" customWidth="1" min="37" max="37"/>
    <col width="17" customWidth="1" min="38" max="38"/>
    <col width="15" customWidth="1" min="39" max="39"/>
    <col width="19" customWidth="1" min="40" max="40"/>
  </cols>
  <sheetData>
    <row r="1">
      <c r="A1" s="3" t="inlineStr">
        <is>
          <t>Account Summary — ISP</t>
        </is>
      </c>
    </row>
    <row r="3">
      <c r="A3" s="1" t="inlineStr">
        <is>
          <t>Filters</t>
        </is>
      </c>
    </row>
    <row r="4">
      <c r="A4" s="2" t="inlineStr">
        <is>
          <t>Period</t>
        </is>
      </c>
      <c r="B4" s="4" t="inlineStr">
        <is>
          <t>Since Inception</t>
        </is>
      </c>
    </row>
    <row r="5">
      <c r="A5" s="2" t="inlineStr">
        <is>
          <t>Asset Class</t>
        </is>
      </c>
      <c r="B5" s="4" t="inlineStr">
        <is>
          <t>All</t>
        </is>
      </c>
    </row>
    <row r="6">
      <c r="A6" s="2" t="inlineStr">
        <is>
          <t>Custom Start</t>
        </is>
      </c>
      <c r="B6" s="5" t="inlineStr"/>
    </row>
    <row r="7">
      <c r="A7" s="2" t="inlineStr">
        <is>
          <t>Custom End</t>
        </is>
      </c>
      <c r="B7" s="5" t="inlineStr"/>
    </row>
    <row r="9">
      <c r="A9" s="6" t="inlineStr">
        <is>
          <t>Account KPIs</t>
        </is>
      </c>
    </row>
    <row r="11">
      <c r="A11" s="7" t="inlineStr">
        <is>
          <t>Current Account Value</t>
        </is>
      </c>
      <c r="B11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Date]&lt;&gt;""))))),IFERROR(SUM(FILTER(tbl_ISP[Current Market Value],((acSel="All")+(tbl_ISP[Asset Class]=acSel))*heldAtEnd(tbl_ISP[Purchase Date],tbl_ISP[Sale Date]))),0))</f>
        <v/>
      </c>
    </row>
    <row r="12">
      <c r="A12" s="7" t="inlineStr">
        <is>
          <t>Invested Capital</t>
        </is>
      </c>
      <c r="B12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Date]&lt;&gt;""))))),IFERROR(SUM(FILTER(tbl_ISP[Total Cost Basis],((acSel="All")+(tbl_ISP[Asset Class]=acSel))*inPeriod(tbl_ISP[Purchase Date]))),0))</f>
        <v/>
      </c>
    </row>
    <row r="13">
      <c r="A13" s="7" t="inlineStr">
        <is>
          <t>Unrealized P/L (€)</t>
        </is>
      </c>
      <c r="B13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Date]&lt;&gt;""))))),IFERROR(SUM(FILTER(tbl_ISP[Unrealized P/L (€)],((acSel="All")+(tbl_ISP[Asset Class]=acSel))*heldAtEnd(tbl_ISP[Purchase Date],tbl_ISP[Sale Date]))),0))</f>
        <v/>
      </c>
    </row>
    <row r="14">
      <c r="A14" s="7" t="inlineStr">
        <is>
          <t>Unrealized P/L (%)</t>
        </is>
      </c>
      <c r="B14" s="9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Date]&lt;&gt;""))))),IFERROR(IF(SUM(FILTER(tbl_ISP[Total Cost Basis],((acSel="All")+(tbl_ISP[Asset Class]=acSel))*heldAtEnd(tbl_ISP[Purchase Date],tbl_ISP[Sale Date])))=0,0,SUM(FILTER(tbl_ISP[Unrealized P/L (€)],((acSel="All")+(tbl_ISP[Asset Class]=acSel))*heldAtEnd(tbl_ISP[Purchase Date],tbl_ISP[Sale Date])))/SUM(FILTER(tbl_ISP[Total Cost Basis],((acSel="All")+(tbl_ISP[Asset Class]=acSel))*heldAtEnd(tbl_ISP[Purchase Date],tbl_ISP[Sale Date])))),0))</f>
        <v/>
      </c>
    </row>
    <row r="15">
      <c r="A15" s="7" t="inlineStr">
        <is>
          <t>Realized P/L (€)</t>
        </is>
      </c>
      <c r="B15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Date]&lt;&gt;""))))),IFERROR(SUM(FILTER(tbl_ISP[Realized P/L (€)],((acSel="All")+(tbl_ISP[Asset Class]=acSel))*inPeriod(tbl_ISP[Sale Date]))),0))</f>
        <v/>
      </c>
    </row>
    <row r="16">
      <c r="A16" s="7" t="inlineStr">
        <is>
          <t>Realized P/L (%)</t>
        </is>
      </c>
      <c r="B16" s="9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Date]&lt;&gt;""))))),IFERROR(IF(SUM(FILTER(tbl_ISP[Total Cost Basis],((acSel="All")+(tbl_ISP[Asset Class]=acSel))*inPeriod(tbl_ISP[Sale Date])))=0,0,SUM(FILTER(tbl_ISP[Realized P/L (€)],((acSel="All")+(tbl_ISP[Asset Class]=acSel))*inPeriod(tbl_ISP[Sale Date])))/SUM(FILTER(tbl_ISP[Total Cost Basis],((acSel="All")+(tbl_ISP[Asset Class]=acSel))*inPeriod(tbl_ISP[Sale Date])))),0))</f>
        <v/>
      </c>
    </row>
    <row r="17">
      <c r="A17" s="7" t="inlineStr">
        <is>
          <t>Cash Balance</t>
        </is>
      </c>
      <c r="B17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Date]&lt;&gt;""))))),IFERROR(SUM(FILTER(tbl_ISP[Current Market Value],(tbl_ISP[Asset Class]="Cash")*heldAtEnd(tbl_ISP[Purchase Date],tbl_ISP[Sale Date])),0))</f>
        <v/>
      </c>
    </row>
    <row r="18">
      <c r="A18" s="7" t="inlineStr">
        <is>
          <t>Coupons Received</t>
        </is>
      </c>
      <c r="B18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Date]&lt;&gt;""))))),IFERROR(incomeInPeriod(tbl_ISP[Coupons Received]),0))</f>
        <v/>
      </c>
    </row>
    <row r="19">
      <c r="A19" s="7" t="inlineStr">
        <is>
          <t>Dividends Received</t>
        </is>
      </c>
      <c r="B19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Date]&lt;&gt;""))))),IFERROR(incomeInPeriod(tbl_ISP[Dividends Received])+incomeInPeriod(tbl_ISP[Interest Received]),0))</f>
        <v/>
      </c>
    </row>
    <row r="20">
      <c r="A20" s="7" t="inlineStr">
        <is>
          <t>Open Positions</t>
        </is>
      </c>
      <c r="B20" s="10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Date]&lt;&gt;""))))),IFERROR(ROWS(FILTER(tbl_ISP[Asset Class],((acSel="All")+(tbl_ISP[Asset Class]=acSel))*(tbl_ISP[Status]="Open")*heldAtEnd(tbl_ISP[Purchase Date],tbl_ISP[Sale Date]))),0))</f>
        <v/>
      </c>
    </row>
    <row r="21">
      <c r="A21" s="7" t="inlineStr">
        <is>
          <t>Closed Positions</t>
        </is>
      </c>
      <c r="B21" s="10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Inception",SUM(FILTER(amtCol,(acSel="All")+(tbl_ISP[Asset Class]=acSel))),SUM(FILTER(amtCol,((acSel="All")+(tbl_ISP[Asset Class]=acSel))*(tbl_ISP[Income Date]&gt;=pStart)*(tbl_ISP[Income Date]&lt;=pEnd)*(tbl_ISP[Income Date]&lt;&gt;""))))),IFERROR(ROWS(FILTER(tbl_ISP[Asset Class],((acSel="All")+(tbl_ISP[Asset Class]=acSel))*(tbl_ISP[Status]="Closed")*inPeriod(tbl_ISP[Sale Date]))),0))</f>
        <v/>
      </c>
    </row>
    <row r="23">
      <c r="A23" s="1" t="inlineStr">
        <is>
          <t>Master Investment Table</t>
        </is>
      </c>
    </row>
    <row r="24">
      <c r="A24" s="11" t="inlineStr">
        <is>
          <t>Asset Class</t>
        </is>
      </c>
      <c r="B24" s="11" t="inlineStr">
        <is>
          <t>ISIN</t>
        </is>
      </c>
      <c r="C24" s="11" t="inlineStr">
        <is>
          <t>Ticker</t>
        </is>
      </c>
      <c r="D24" s="11" t="inlineStr">
        <is>
          <t>Security Name</t>
        </is>
      </c>
      <c r="E24" s="11" t="inlineStr">
        <is>
          <t>Issuer</t>
        </is>
      </c>
      <c r="F24" s="11" t="inlineStr">
        <is>
          <t>Currency</t>
        </is>
      </c>
      <c r="G24" s="11" t="inlineStr">
        <is>
          <t>Purchase Date</t>
        </is>
      </c>
      <c r="H24" s="11" t="inlineStr">
        <is>
          <t>Purchase Price</t>
        </is>
      </c>
      <c r="I24" s="11" t="inlineStr">
        <is>
          <t>Quantity / Nominal</t>
        </is>
      </c>
      <c r="J24" s="11" t="inlineStr">
        <is>
          <t>Purchase Fees</t>
        </is>
      </c>
      <c r="K24" s="11" t="inlineStr">
        <is>
          <t>Other Purchase Costs</t>
        </is>
      </c>
      <c r="L24" s="11" t="inlineStr">
        <is>
          <t>Total Cost Basis</t>
        </is>
      </c>
      <c r="M24" s="11" t="inlineStr">
        <is>
          <t>Current Price</t>
        </is>
      </c>
      <c r="N24" s="11" t="inlineStr">
        <is>
          <t>Current Market Value</t>
        </is>
      </c>
      <c r="O24" s="11" t="inlineStr">
        <is>
          <t>Unrealized P/L (€)</t>
        </is>
      </c>
      <c r="P24" s="11" t="inlineStr">
        <is>
          <t>Unrealized P/L (%)</t>
        </is>
      </c>
      <c r="Q24" s="11" t="inlineStr">
        <is>
          <t>Sale Date</t>
        </is>
      </c>
      <c r="R24" s="11" t="inlineStr">
        <is>
          <t>Sale Price</t>
        </is>
      </c>
      <c r="S24" s="11" t="inlineStr">
        <is>
          <t>Sale Fees</t>
        </is>
      </c>
      <c r="T24" s="11" t="inlineStr">
        <is>
          <t>Net Sale Proceeds</t>
        </is>
      </c>
      <c r="U24" s="11" t="inlineStr">
        <is>
          <t>Realized P/L (€)</t>
        </is>
      </c>
      <c r="V24" s="11" t="inlineStr">
        <is>
          <t>Realized P/L (%)</t>
        </is>
      </c>
      <c r="W24" s="11" t="inlineStr">
        <is>
          <t>Status</t>
        </is>
      </c>
      <c r="X24" s="11" t="inlineStr">
        <is>
          <t>Notes</t>
        </is>
      </c>
      <c r="Y24" s="11" t="inlineStr">
        <is>
          <t>Income Date</t>
        </is>
      </c>
      <c r="Z24" s="11" t="inlineStr">
        <is>
          <t>Coupon %</t>
        </is>
      </c>
      <c r="AA24" s="11" t="inlineStr">
        <is>
          <t>Coupon Frequency</t>
        </is>
      </c>
      <c r="AB24" s="11" t="inlineStr">
        <is>
          <t>Coupon Payment Dates</t>
        </is>
      </c>
      <c r="AC24" s="11" t="inlineStr">
        <is>
          <t>Coupons Received</t>
        </is>
      </c>
      <c r="AD24" s="11" t="inlineStr">
        <is>
          <t>Maturity Date</t>
        </is>
      </c>
      <c r="AE24" s="11" t="inlineStr">
        <is>
          <t>Yield to Maturity</t>
        </is>
      </c>
      <c r="AF24" s="11" t="inlineStr">
        <is>
          <t>Duration</t>
        </is>
      </c>
      <c r="AG24" s="11" t="inlineStr">
        <is>
          <t>Dividend Yield</t>
        </is>
      </c>
      <c r="AH24" s="11" t="inlineStr">
        <is>
          <t>Dividends Received</t>
        </is>
      </c>
      <c r="AI24" s="11" t="inlineStr">
        <is>
          <t>Exchange</t>
        </is>
      </c>
      <c r="AJ24" s="11" t="inlineStr">
        <is>
          <t>Distribution Type</t>
        </is>
      </c>
      <c r="AK24" s="11" t="inlineStr">
        <is>
          <t>TER</t>
        </is>
      </c>
      <c r="AL24" s="11" t="inlineStr">
        <is>
          <t>Benchmark Index</t>
        </is>
      </c>
      <c r="AM24" s="11" t="inlineStr">
        <is>
          <t>Interest Rate</t>
        </is>
      </c>
      <c r="AN24" s="11" t="inlineStr">
        <is>
          <t>Interest Received</t>
        </is>
      </c>
    </row>
    <row r="25">
      <c r="A25" t="inlineStr">
        <is>
          <t>ETFs</t>
        </is>
      </c>
      <c r="B25" t="inlineStr">
        <is>
          <t>IE00B4L5Y983</t>
        </is>
      </c>
      <c r="C25" t="inlineStr">
        <is>
          <t>IWDA</t>
        </is>
      </c>
      <c r="D25" t="inlineStr">
        <is>
          <t>iShares Core MSCI World</t>
        </is>
      </c>
      <c r="E25" t="inlineStr">
        <is>
          <t>iShares</t>
        </is>
      </c>
      <c r="F25" t="inlineStr">
        <is>
          <t>EUR</t>
        </is>
      </c>
      <c r="G25" s="12" t="inlineStr">
        <is>
          <t>2022-03-15</t>
        </is>
      </c>
      <c r="H25" s="13" t="n">
        <v>72.5</v>
      </c>
      <c r="I25" t="n">
        <v>120</v>
      </c>
      <c r="J25" s="13" t="n">
        <v>8.949999999999999</v>
      </c>
      <c r="K25" s="13" t="n">
        <v>0</v>
      </c>
      <c r="L25" s="13">
        <f>[@[Quantity / Nominal]]*[@[Purchase Price]]+[@[Purchase Fees]]+[@[Other Purchase Costs]]</f>
        <v/>
      </c>
      <c r="M25" s="13" t="n">
        <v>88.2</v>
      </c>
      <c r="N25" s="13">
        <f>IF([@Status]="Open",[@[Quantity / Nominal]]*[@[Current Price]],0)</f>
        <v/>
      </c>
      <c r="O25" s="13">
        <f>IF([@Status]="Open",[@[Current Market Value]]-[@[Total Cost Basis]],0)</f>
        <v/>
      </c>
      <c r="P25" s="14">
        <f>IF([@[Total Cost Basis]]=0,0,IF([@Status]="Open",[@[Unrealized P/L (€)]]/[@[Total Cost Basis]],0))</f>
        <v/>
      </c>
      <c r="Q25" s="12" t="n"/>
      <c r="R25" s="13" t="n"/>
      <c r="T25" s="13">
        <f>IF([@Status]="Closed",[@[Quantity / Nominal]]*[@[Sale Price]]-[@[Sale Fees]],0)</f>
        <v/>
      </c>
      <c r="U25" s="13">
        <f>IF([@Status]="Closed",[@[Net Sale Proceeds]]-[@[Total Cost Basis]],0)</f>
        <v/>
      </c>
      <c r="V25" s="14">
        <f>IF([@[Total Cost Basis]]=0,0,IF([@Status]="Closed",[@[Realized P/L (€)]]/[@[Total Cost Basis]],0))</f>
        <v/>
      </c>
      <c r="W25">
        <f>IF([@[Sale Date]]="","Open","Closed")</f>
        <v/>
      </c>
      <c r="Y25" s="12" t="n"/>
      <c r="Z25" s="14" t="n"/>
      <c r="AC25" s="13" t="n"/>
      <c r="AD25" s="12" t="n"/>
      <c r="AE25" s="14" t="n"/>
      <c r="AG25" s="14" t="n"/>
      <c r="AH25" s="13" t="n"/>
      <c r="AJ25" t="inlineStr">
        <is>
          <t>Accumulating</t>
        </is>
      </c>
      <c r="AK25" s="14" t="n">
        <v>0.002</v>
      </c>
      <c r="AL25" t="inlineStr">
        <is>
          <t>MSCI World</t>
        </is>
      </c>
      <c r="AM25" s="14" t="n"/>
      <c r="AN25" s="13" t="n"/>
    </row>
    <row r="26">
      <c r="A26" t="inlineStr">
        <is>
          <t>Bonds</t>
        </is>
      </c>
      <c r="B26" t="inlineStr">
        <is>
          <t>IT0005437146</t>
        </is>
      </c>
      <c r="C26" t="inlineStr">
        <is>
          <t>BTPS</t>
        </is>
      </c>
      <c r="D26" t="inlineStr">
        <is>
          <t>BTP 3.5% 2028</t>
        </is>
      </c>
      <c r="E26" t="inlineStr">
        <is>
          <t>Republic of Italy</t>
        </is>
      </c>
      <c r="F26" t="inlineStr">
        <is>
          <t>EUR</t>
        </is>
      </c>
      <c r="G26" s="12" t="inlineStr">
        <is>
          <t>2023-01-10</t>
        </is>
      </c>
      <c r="H26" s="13" t="n">
        <v>98.40000000000001</v>
      </c>
      <c r="I26" t="n">
        <v>10000</v>
      </c>
      <c r="J26" s="13" t="n">
        <v>12</v>
      </c>
      <c r="K26" s="13" t="n">
        <v>0</v>
      </c>
      <c r="L26" s="13">
        <f>[@[Quantity / Nominal]]*[@[Purchase Price]]+[@[Purchase Fees]]+[@[Other Purchase Costs]]</f>
        <v/>
      </c>
      <c r="M26" s="13" t="n">
        <v>96.8</v>
      </c>
      <c r="N26" s="13">
        <f>IF([@Status]="Open",[@[Quantity / Nominal]]*[@[Current Price]],0)</f>
        <v/>
      </c>
      <c r="O26" s="13">
        <f>IF([@Status]="Open",[@[Current Market Value]]-[@[Total Cost Basis]],0)</f>
        <v/>
      </c>
      <c r="P26" s="14">
        <f>IF([@[Total Cost Basis]]=0,0,IF([@Status]="Open",[@[Unrealized P/L (€)]]/[@[Total Cost Basis]],0))</f>
        <v/>
      </c>
      <c r="Q26" s="12" t="n"/>
      <c r="R26" s="13" t="n"/>
      <c r="T26" s="13">
        <f>IF([@Status]="Closed",[@[Quantity / Nominal]]*[@[Sale Price]]-[@[Sale Fees]],0)</f>
        <v/>
      </c>
      <c r="U26" s="13">
        <f>IF([@Status]="Closed",[@[Net Sale Proceeds]]-[@[Total Cost Basis]],0)</f>
        <v/>
      </c>
      <c r="V26" s="14">
        <f>IF([@[Total Cost Basis]]=0,0,IF([@Status]="Closed",[@[Realized P/L (€)]]/[@[Total Cost Basis]],0))</f>
        <v/>
      </c>
      <c r="W26">
        <f>IF([@[Sale Date]]="","Open","Closed")</f>
        <v/>
      </c>
      <c r="Y26" s="12" t="inlineStr">
        <is>
          <t>2025-07-15</t>
        </is>
      </c>
      <c r="Z26" s="14" t="n">
        <v>0.035</v>
      </c>
      <c r="AA26" t="inlineStr">
        <is>
          <t>Semi-Annual</t>
        </is>
      </c>
      <c r="AC26" s="13" t="n">
        <v>350</v>
      </c>
      <c r="AD26" s="12" t="inlineStr">
        <is>
          <t>2028-02-01</t>
        </is>
      </c>
      <c r="AE26" s="14" t="n">
        <v>0.038</v>
      </c>
      <c r="AF26" t="n">
        <v>2.8</v>
      </c>
      <c r="AG26" s="14" t="n"/>
      <c r="AH26" s="13" t="n"/>
      <c r="AK26" s="14" t="n"/>
      <c r="AM26" s="14" t="n"/>
      <c r="AN26" s="13" t="n"/>
    </row>
    <row r="27">
      <c r="L27">
        <f>[@[Quantity / Nominal]]*[@[Purchase Price]]+[@[Purchase Fees]]+[@[Other Purchase Costs]]</f>
        <v/>
      </c>
      <c r="N27">
        <f>IF([@Status]="Open",[@[Quantity / Nominal]]*[@[Current Price]],0)</f>
        <v/>
      </c>
      <c r="O27">
        <f>IF([@Status]="Open",[@[Current Market Value]]-[@[Total Cost Basis]],0)</f>
        <v/>
      </c>
      <c r="P27">
        <f>IF([@[Total Cost Basis]]=0,0,IF([@Status]="Open",[@[Unrealized P/L (€)]]/[@[Total Cost Basis]],0))</f>
        <v/>
      </c>
      <c r="T27">
        <f>IF([@Status]="Closed",[@[Quantity / Nominal]]*[@[Sale Price]]-[@[Sale Fees]],0)</f>
        <v/>
      </c>
      <c r="U27">
        <f>IF([@Status]="Closed",[@[Net Sale Proceeds]]-[@[Total Cost Basis]],0)</f>
        <v/>
      </c>
      <c r="V27">
        <f>IF([@[Total Cost Basis]]=0,0,IF([@Status]="Closed",[@[Realized P/L (€)]]/[@[Total Cost Basis]],0))</f>
        <v/>
      </c>
      <c r="W27">
        <f>IF([@[Sale Date]]="","Open","Closed")</f>
        <v/>
      </c>
    </row>
    <row r="28">
      <c r="L28">
        <f>[@[Quantity / Nominal]]*[@[Purchase Price]]+[@[Purchase Fees]]+[@[Other Purchase Costs]]</f>
        <v/>
      </c>
      <c r="N28">
        <f>IF([@Status]="Open",[@[Quantity / Nominal]]*[@[Current Price]],0)</f>
        <v/>
      </c>
      <c r="O28">
        <f>IF([@Status]="Open",[@[Current Market Value]]-[@[Total Cost Basis]],0)</f>
        <v/>
      </c>
      <c r="P28">
        <f>IF([@[Total Cost Basis]]=0,0,IF([@Status]="Open",[@[Unrealized P/L (€)]]/[@[Total Cost Basis]],0))</f>
        <v/>
      </c>
      <c r="T28">
        <f>IF([@Status]="Closed",[@[Quantity / Nominal]]*[@[Sale Price]]-[@[Sale Fees]],0)</f>
        <v/>
      </c>
      <c r="U28">
        <f>IF([@Status]="Closed",[@[Net Sale Proceeds]]-[@[Total Cost Basis]],0)</f>
        <v/>
      </c>
      <c r="V28">
        <f>IF([@[Total Cost Basis]]=0,0,IF([@Status]="Closed",[@[Realized P/L (€)]]/[@[Total Cost Basis]],0))</f>
        <v/>
      </c>
      <c r="W28">
        <f>IF([@[Sale Date]]="","Open","Closed")</f>
        <v/>
      </c>
    </row>
  </sheetData>
  <mergeCells count="2">
    <mergeCell ref="A9:B9"/>
    <mergeCell ref="A1:D1"/>
  </mergeCells>
  <conditionalFormatting sqref="B1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1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5:O2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P25:P2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U25:U2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V25:V28">
    <cfRule type="cellIs" priority="15" operator="greaterThan" dxfId="0">
      <formula>0</formula>
    </cfRule>
    <cfRule type="cellIs" priority="16" operator="lessThan" dxfId="1">
      <formula>0</formula>
    </cfRule>
  </conditionalFormatting>
  <dataValidations count="3">
    <dataValidation sqref="B5" showDropDown="0" showInputMessage="0" showErrorMessage="0" allowBlank="0" error="Select a valid period." prompt="Filter KPIs by reporting period." type="list">
      <formula1>=Config!$C$2:$C$7</formula1>
    </dataValidation>
    <dataValidation sqref="B6" showDropDown="0" showInputMessage="0" showErrorMessage="0" allowBlank="0" error="Select a valid asset class." type="list">
      <formula1>=Config!$E$2:$E$8</formula1>
    </dataValidation>
    <dataValidation sqref="A25:A28" showDropDown="0" showInputMessage="0" showErrorMessage="0" allowBlank="1" type="list">
      <formula1>=Config!$E$3:$E$8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8"/>
  <sheetViews>
    <sheetView showGridLines="0"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5" customWidth="1" min="7" max="7"/>
    <col width="16" customWidth="1" min="8" max="8"/>
    <col width="20" customWidth="1" min="9" max="9"/>
    <col width="15" customWidth="1" min="10" max="10"/>
    <col width="22" customWidth="1" min="11" max="11"/>
    <col width="18" customWidth="1" min="12" max="12"/>
    <col width="15" customWidth="1" min="13" max="13"/>
    <col width="22" customWidth="1" min="14" max="14"/>
    <col width="20" customWidth="1" min="15" max="15"/>
    <col width="20" customWidth="1" min="16" max="16"/>
    <col width="12" customWidth="1" min="17" max="17"/>
    <col width="12" customWidth="1" min="18" max="18"/>
    <col width="12" customWidth="1" min="19" max="19"/>
    <col width="19" customWidth="1" min="20" max="20"/>
    <col width="18" customWidth="1" min="21" max="21"/>
    <col width="18" customWidth="1" min="22" max="22"/>
    <col width="12" customWidth="1" min="23" max="23"/>
    <col width="12" customWidth="1" min="24" max="24"/>
    <col width="13" customWidth="1" min="25" max="25"/>
    <col width="12" customWidth="1" min="26" max="26"/>
    <col width="18" customWidth="1" min="27" max="27"/>
    <col width="22" customWidth="1" min="28" max="28"/>
    <col width="18" customWidth="1" min="29" max="29"/>
    <col width="15" customWidth="1" min="30" max="30"/>
    <col width="19" customWidth="1" min="31" max="31"/>
    <col width="12" customWidth="1" min="32" max="32"/>
    <col width="16" customWidth="1" min="33" max="33"/>
    <col width="20" customWidth="1" min="34" max="34"/>
    <col width="12" customWidth="1" min="35" max="35"/>
    <col width="19" customWidth="1" min="36" max="36"/>
    <col width="12" customWidth="1" min="37" max="37"/>
    <col width="17" customWidth="1" min="38" max="38"/>
    <col width="15" customWidth="1" min="39" max="39"/>
    <col width="19" customWidth="1" min="40" max="40"/>
  </cols>
  <sheetData>
    <row r="1">
      <c r="A1" s="3" t="inlineStr">
        <is>
          <t>Account Summary — Barclays</t>
        </is>
      </c>
    </row>
    <row r="3">
      <c r="A3" s="1" t="inlineStr">
        <is>
          <t>Filters</t>
        </is>
      </c>
    </row>
    <row r="4">
      <c r="A4" s="2" t="inlineStr">
        <is>
          <t>Period</t>
        </is>
      </c>
      <c r="B4" s="4" t="inlineStr">
        <is>
          <t>Since Inception</t>
        </is>
      </c>
    </row>
    <row r="5">
      <c r="A5" s="2" t="inlineStr">
        <is>
          <t>Asset Class</t>
        </is>
      </c>
      <c r="B5" s="4" t="inlineStr">
        <is>
          <t>All</t>
        </is>
      </c>
    </row>
    <row r="6">
      <c r="A6" s="2" t="inlineStr">
        <is>
          <t>Custom Start</t>
        </is>
      </c>
      <c r="B6" s="5" t="inlineStr"/>
    </row>
    <row r="7">
      <c r="A7" s="2" t="inlineStr">
        <is>
          <t>Custom End</t>
        </is>
      </c>
      <c r="B7" s="5" t="inlineStr"/>
    </row>
    <row r="9">
      <c r="A9" s="6" t="inlineStr">
        <is>
          <t>Account KPIs</t>
        </is>
      </c>
    </row>
    <row r="11">
      <c r="A11" s="7" t="inlineStr">
        <is>
          <t>Current Account Value</t>
        </is>
      </c>
      <c r="B11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Date]&lt;&gt;""))))),IFERROR(SUM(FILTER(tbl_Barclays[Current Market Value],((acSel="All")+(tbl_Barclays[Asset Class]=acSel))*heldAtEnd(tbl_Barclays[Purchase Date],tbl_Barclays[Sale Date]))),0))</f>
        <v/>
      </c>
    </row>
    <row r="12">
      <c r="A12" s="7" t="inlineStr">
        <is>
          <t>Invested Capital</t>
        </is>
      </c>
      <c r="B12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Date]&lt;&gt;""))))),IFERROR(SUM(FILTER(tbl_Barclays[Total Cost Basis],((acSel="All")+(tbl_Barclays[Asset Class]=acSel))*inPeriod(tbl_Barclays[Purchase Date]))),0))</f>
        <v/>
      </c>
    </row>
    <row r="13">
      <c r="A13" s="7" t="inlineStr">
        <is>
          <t>Unrealized P/L (€)</t>
        </is>
      </c>
      <c r="B13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Date]&lt;&gt;""))))),IFERROR(SUM(FILTER(tbl_Barclays[Unrealized P/L (€)],((acSel="All")+(tbl_Barclays[Asset Class]=acSel))*heldAtEnd(tbl_Barclays[Purchase Date],tbl_Barclays[Sale Date]))),0))</f>
        <v/>
      </c>
    </row>
    <row r="14">
      <c r="A14" s="7" t="inlineStr">
        <is>
          <t>Unrealized P/L (%)</t>
        </is>
      </c>
      <c r="B14" s="9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Date]&lt;&gt;""))))),IFERROR(IF(SUM(FILTER(tbl_Barclays[Total Cost Basis],((acSel="All")+(tbl_Barclays[Asset Class]=acSel))*heldAtEnd(tbl_Barclays[Purchase Date],tbl_Barclays[Sale Date])))=0,0,SUM(FILTER(tbl_Barclays[Unrealized P/L (€)],((acSel="All")+(tbl_Barclays[Asset Class]=acSel))*heldAtEnd(tbl_Barclays[Purchase Date],tbl_Barclays[Sale Date])))/SUM(FILTER(tbl_Barclays[Total Cost Basis],((acSel="All")+(tbl_Barclays[Asset Class]=acSel))*heldAtEnd(tbl_Barclays[Purchase Date],tbl_Barclays[Sale Date])))),0))</f>
        <v/>
      </c>
    </row>
    <row r="15">
      <c r="A15" s="7" t="inlineStr">
        <is>
          <t>Realized P/L (€)</t>
        </is>
      </c>
      <c r="B15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Date]&lt;&gt;""))))),IFERROR(SUM(FILTER(tbl_Barclays[Realized P/L (€)],((acSel="All")+(tbl_Barclays[Asset Class]=acSel))*inPeriod(tbl_Barclays[Sale Date]))),0))</f>
        <v/>
      </c>
    </row>
    <row r="16">
      <c r="A16" s="7" t="inlineStr">
        <is>
          <t>Realized P/L (%)</t>
        </is>
      </c>
      <c r="B16" s="9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Date]&lt;&gt;""))))),IFERROR(IF(SUM(FILTER(tbl_Barclays[Total Cost Basis],((acSel="All")+(tbl_Barclays[Asset Class]=acSel))*inPeriod(tbl_Barclays[Sale Date])))=0,0,SUM(FILTER(tbl_Barclays[Realized P/L (€)],((acSel="All")+(tbl_Barclays[Asset Class]=acSel))*inPeriod(tbl_Barclays[Sale Date])))/SUM(FILTER(tbl_Barclays[Total Cost Basis],((acSel="All")+(tbl_Barclays[Asset Class]=acSel))*inPeriod(tbl_Barclays[Sale Date])))),0))</f>
        <v/>
      </c>
    </row>
    <row r="17">
      <c r="A17" s="7" t="inlineStr">
        <is>
          <t>Cash Balance</t>
        </is>
      </c>
      <c r="B17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Date]&lt;&gt;""))))),IFERROR(SUM(FILTER(tbl_Barclays[Current Market Value],(tbl_Barclays[Asset Class]="Cash")*heldAtEnd(tbl_Barclays[Purchase Date],tbl_Barclays[Sale Date])),0))</f>
        <v/>
      </c>
    </row>
    <row r="18">
      <c r="A18" s="7" t="inlineStr">
        <is>
          <t>Coupons Received</t>
        </is>
      </c>
      <c r="B18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Date]&lt;&gt;""))))),IFERROR(incomeInPeriod(tbl_Barclays[Coupons Received]),0))</f>
        <v/>
      </c>
    </row>
    <row r="19">
      <c r="A19" s="7" t="inlineStr">
        <is>
          <t>Dividends Received</t>
        </is>
      </c>
      <c r="B19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Date]&lt;&gt;""))))),IFERROR(incomeInPeriod(tbl_Barclays[Dividends Received])+incomeInPeriod(tbl_Barclays[Interest Received]),0))</f>
        <v/>
      </c>
    </row>
    <row r="20">
      <c r="A20" s="7" t="inlineStr">
        <is>
          <t>Open Positions</t>
        </is>
      </c>
      <c r="B20" s="10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Date]&lt;&gt;""))))),IFERROR(ROWS(FILTER(tbl_Barclays[Asset Class],((acSel="All")+(tbl_Barclays[Asset Class]=acSel))*(tbl_Barclays[Status]="Open")*heldAtEnd(tbl_Barclays[Purchase Date],tbl_Barclays[Sale Date]))),0))</f>
        <v/>
      </c>
    </row>
    <row r="21">
      <c r="A21" s="7" t="inlineStr">
        <is>
          <t>Closed Positions</t>
        </is>
      </c>
      <c r="B21" s="10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Inception",SUM(FILTER(amtCol,(acSel="All")+(tbl_Barclays[Asset Class]=acSel))),SUM(FILTER(amtCol,((acSel="All")+(tbl_Barclays[Asset Class]=acSel))*(tbl_Barclays[Income Date]&gt;=pStart)*(tbl_Barclays[Income Date]&lt;=pEnd)*(tbl_Barclays[Income Date]&lt;&gt;""))))),IFERROR(ROWS(FILTER(tbl_Barclays[Asset Class],((acSel="All")+(tbl_Barclays[Asset Class]=acSel))*(tbl_Barclays[Status]="Closed")*inPeriod(tbl_Barclays[Sale Date]))),0))</f>
        <v/>
      </c>
    </row>
    <row r="23">
      <c r="A23" s="1" t="inlineStr">
        <is>
          <t>Master Investment Table</t>
        </is>
      </c>
    </row>
    <row r="24">
      <c r="A24" s="11" t="inlineStr">
        <is>
          <t>Asset Class</t>
        </is>
      </c>
      <c r="B24" s="11" t="inlineStr">
        <is>
          <t>ISIN</t>
        </is>
      </c>
      <c r="C24" s="11" t="inlineStr">
        <is>
          <t>Ticker</t>
        </is>
      </c>
      <c r="D24" s="11" t="inlineStr">
        <is>
          <t>Security Name</t>
        </is>
      </c>
      <c r="E24" s="11" t="inlineStr">
        <is>
          <t>Issuer</t>
        </is>
      </c>
      <c r="F24" s="11" t="inlineStr">
        <is>
          <t>Currency</t>
        </is>
      </c>
      <c r="G24" s="11" t="inlineStr">
        <is>
          <t>Purchase Date</t>
        </is>
      </c>
      <c r="H24" s="11" t="inlineStr">
        <is>
          <t>Purchase Price</t>
        </is>
      </c>
      <c r="I24" s="11" t="inlineStr">
        <is>
          <t>Quantity / Nominal</t>
        </is>
      </c>
      <c r="J24" s="11" t="inlineStr">
        <is>
          <t>Purchase Fees</t>
        </is>
      </c>
      <c r="K24" s="11" t="inlineStr">
        <is>
          <t>Other Purchase Costs</t>
        </is>
      </c>
      <c r="L24" s="11" t="inlineStr">
        <is>
          <t>Total Cost Basis</t>
        </is>
      </c>
      <c r="M24" s="11" t="inlineStr">
        <is>
          <t>Current Price</t>
        </is>
      </c>
      <c r="N24" s="11" t="inlineStr">
        <is>
          <t>Current Market Value</t>
        </is>
      </c>
      <c r="O24" s="11" t="inlineStr">
        <is>
          <t>Unrealized P/L (€)</t>
        </is>
      </c>
      <c r="P24" s="11" t="inlineStr">
        <is>
          <t>Unrealized P/L (%)</t>
        </is>
      </c>
      <c r="Q24" s="11" t="inlineStr">
        <is>
          <t>Sale Date</t>
        </is>
      </c>
      <c r="R24" s="11" t="inlineStr">
        <is>
          <t>Sale Price</t>
        </is>
      </c>
      <c r="S24" s="11" t="inlineStr">
        <is>
          <t>Sale Fees</t>
        </is>
      </c>
      <c r="T24" s="11" t="inlineStr">
        <is>
          <t>Net Sale Proceeds</t>
        </is>
      </c>
      <c r="U24" s="11" t="inlineStr">
        <is>
          <t>Realized P/L (€)</t>
        </is>
      </c>
      <c r="V24" s="11" t="inlineStr">
        <is>
          <t>Realized P/L (%)</t>
        </is>
      </c>
      <c r="W24" s="11" t="inlineStr">
        <is>
          <t>Status</t>
        </is>
      </c>
      <c r="X24" s="11" t="inlineStr">
        <is>
          <t>Notes</t>
        </is>
      </c>
      <c r="Y24" s="11" t="inlineStr">
        <is>
          <t>Income Date</t>
        </is>
      </c>
      <c r="Z24" s="11" t="inlineStr">
        <is>
          <t>Coupon %</t>
        </is>
      </c>
      <c r="AA24" s="11" t="inlineStr">
        <is>
          <t>Coupon Frequency</t>
        </is>
      </c>
      <c r="AB24" s="11" t="inlineStr">
        <is>
          <t>Coupon Payment Dates</t>
        </is>
      </c>
      <c r="AC24" s="11" t="inlineStr">
        <is>
          <t>Coupons Received</t>
        </is>
      </c>
      <c r="AD24" s="11" t="inlineStr">
        <is>
          <t>Maturity Date</t>
        </is>
      </c>
      <c r="AE24" s="11" t="inlineStr">
        <is>
          <t>Yield to Maturity</t>
        </is>
      </c>
      <c r="AF24" s="11" t="inlineStr">
        <is>
          <t>Duration</t>
        </is>
      </c>
      <c r="AG24" s="11" t="inlineStr">
        <is>
          <t>Dividend Yield</t>
        </is>
      </c>
      <c r="AH24" s="11" t="inlineStr">
        <is>
          <t>Dividends Received</t>
        </is>
      </c>
      <c r="AI24" s="11" t="inlineStr">
        <is>
          <t>Exchange</t>
        </is>
      </c>
      <c r="AJ24" s="11" t="inlineStr">
        <is>
          <t>Distribution Type</t>
        </is>
      </c>
      <c r="AK24" s="11" t="inlineStr">
        <is>
          <t>TER</t>
        </is>
      </c>
      <c r="AL24" s="11" t="inlineStr">
        <is>
          <t>Benchmark Index</t>
        </is>
      </c>
      <c r="AM24" s="11" t="inlineStr">
        <is>
          <t>Interest Rate</t>
        </is>
      </c>
      <c r="AN24" s="11" t="inlineStr">
        <is>
          <t>Interest Received</t>
        </is>
      </c>
    </row>
    <row r="25">
      <c r="A25" t="inlineStr">
        <is>
          <t>Stocks</t>
        </is>
      </c>
      <c r="B25" t="inlineStr">
        <is>
          <t>US0378331005</t>
        </is>
      </c>
      <c r="C25" t="inlineStr">
        <is>
          <t>AAPL</t>
        </is>
      </c>
      <c r="D25" t="inlineStr">
        <is>
          <t>Apple Inc.</t>
        </is>
      </c>
      <c r="E25" t="inlineStr">
        <is>
          <t>Apple Inc.</t>
        </is>
      </c>
      <c r="F25" t="inlineStr">
        <is>
          <t>USD</t>
        </is>
      </c>
      <c r="G25" s="12" t="inlineStr">
        <is>
          <t>2021-06-01</t>
        </is>
      </c>
      <c r="H25" s="13" t="n">
        <v>124.5</v>
      </c>
      <c r="I25" t="n">
        <v>50</v>
      </c>
      <c r="J25" s="13" t="n">
        <v>5</v>
      </c>
      <c r="K25" s="13" t="n">
        <v>0</v>
      </c>
      <c r="L25" s="13">
        <f>[@[Quantity / Nominal]]*[@[Purchase Price]]+[@[Purchase Fees]]+[@[Other Purchase Costs]]</f>
        <v/>
      </c>
      <c r="M25" s="13" t="n">
        <v>195.3</v>
      </c>
      <c r="N25" s="13">
        <f>IF([@Status]="Open",[@[Quantity / Nominal]]*[@[Current Price]],0)</f>
        <v/>
      </c>
      <c r="O25" s="13">
        <f>IF([@Status]="Open",[@[Current Market Value]]-[@[Total Cost Basis]],0)</f>
        <v/>
      </c>
      <c r="P25" s="14">
        <f>IF([@[Total Cost Basis]]=0,0,IF([@Status]="Open",[@[Unrealized P/L (€)]]/[@[Total Cost Basis]],0))</f>
        <v/>
      </c>
      <c r="Q25" s="12" t="n"/>
      <c r="R25" s="13" t="n"/>
      <c r="T25" s="13">
        <f>IF([@Status]="Closed",[@[Quantity / Nominal]]*[@[Sale Price]]-[@[Sale Fees]],0)</f>
        <v/>
      </c>
      <c r="U25" s="13">
        <f>IF([@Status]="Closed",[@[Net Sale Proceeds]]-[@[Total Cost Basis]],0)</f>
        <v/>
      </c>
      <c r="V25" s="14">
        <f>IF([@[Total Cost Basis]]=0,0,IF([@Status]="Closed",[@[Realized P/L (€)]]/[@[Total Cost Basis]],0))</f>
        <v/>
      </c>
      <c r="W25">
        <f>IF([@[Sale Date]]="","Open","Closed")</f>
        <v/>
      </c>
      <c r="Y25" s="12" t="inlineStr">
        <is>
          <t>2025-05-15</t>
        </is>
      </c>
      <c r="Z25" s="14" t="n"/>
      <c r="AC25" s="13" t="n"/>
      <c r="AD25" s="12" t="n"/>
      <c r="AE25" s="14" t="n"/>
      <c r="AG25" s="14" t="n">
        <v>0.005</v>
      </c>
      <c r="AH25" s="13" t="n">
        <v>42.5</v>
      </c>
      <c r="AI25" t="inlineStr">
        <is>
          <t>NASDAQ</t>
        </is>
      </c>
      <c r="AK25" s="14" t="n"/>
      <c r="AM25" s="14" t="n"/>
      <c r="AN25" s="13" t="n"/>
    </row>
    <row r="26">
      <c r="A26" t="inlineStr">
        <is>
          <t>Cash</t>
        </is>
      </c>
      <c r="B26" t="inlineStr"/>
      <c r="C26" t="inlineStr"/>
      <c r="D26" t="inlineStr">
        <is>
          <t>EUR Cash Balance</t>
        </is>
      </c>
      <c r="E26" t="inlineStr">
        <is>
          <t>Barclays</t>
        </is>
      </c>
      <c r="F26" t="inlineStr">
        <is>
          <t>EUR</t>
        </is>
      </c>
      <c r="G26" s="12" t="inlineStr">
        <is>
          <t>2020-01-01</t>
        </is>
      </c>
      <c r="H26" s="13" t="n">
        <v>1</v>
      </c>
      <c r="I26" t="n">
        <v>12500</v>
      </c>
      <c r="J26" s="13" t="n">
        <v>0</v>
      </c>
      <c r="K26" s="13" t="n">
        <v>0</v>
      </c>
      <c r="L26" s="13">
        <f>[@[Quantity / Nominal]]*[@[Purchase Price]]+[@[Purchase Fees]]+[@[Other Purchase Costs]]</f>
        <v/>
      </c>
      <c r="M26" s="13" t="n">
        <v>1</v>
      </c>
      <c r="N26" s="13">
        <f>IF([@Status]="Open",[@[Quantity / Nominal]]*[@[Current Price]],0)</f>
        <v/>
      </c>
      <c r="O26" s="13">
        <f>IF([@Status]="Open",[@[Current Market Value]]-[@[Total Cost Basis]],0)</f>
        <v/>
      </c>
      <c r="P26" s="14">
        <f>IF([@[Total Cost Basis]]=0,0,IF([@Status]="Open",[@[Unrealized P/L (€)]]/[@[Total Cost Basis]],0))</f>
        <v/>
      </c>
      <c r="Q26" s="12" t="n"/>
      <c r="R26" s="13" t="n"/>
      <c r="T26" s="13">
        <f>IF([@Status]="Closed",[@[Quantity / Nominal]]*[@[Sale Price]]-[@[Sale Fees]],0)</f>
        <v/>
      </c>
      <c r="U26" s="13">
        <f>IF([@Status]="Closed",[@[Net Sale Proceeds]]-[@[Total Cost Basis]],0)</f>
        <v/>
      </c>
      <c r="V26" s="14">
        <f>IF([@[Total Cost Basis]]=0,0,IF([@Status]="Closed",[@[Realized P/L (€)]]/[@[Total Cost Basis]],0))</f>
        <v/>
      </c>
      <c r="W26">
        <f>IF([@[Sale Date]]="","Open","Closed")</f>
        <v/>
      </c>
      <c r="Y26" s="12" t="inlineStr">
        <is>
          <t>2025-06-30</t>
        </is>
      </c>
      <c r="Z26" s="14" t="n"/>
      <c r="AC26" s="13" t="n"/>
      <c r="AD26" s="12" t="n"/>
      <c r="AE26" s="14" t="n"/>
      <c r="AG26" s="14" t="n"/>
      <c r="AH26" s="13" t="n"/>
      <c r="AK26" s="14" t="n"/>
      <c r="AM26" s="14" t="n">
        <v>0.0125</v>
      </c>
      <c r="AN26" s="13" t="n">
        <v>156.25</v>
      </c>
    </row>
    <row r="27">
      <c r="L27">
        <f>[@[Quantity / Nominal]]*[@[Purchase Price]]+[@[Purchase Fees]]+[@[Other Purchase Costs]]</f>
        <v/>
      </c>
      <c r="N27">
        <f>IF([@Status]="Open",[@[Quantity / Nominal]]*[@[Current Price]],0)</f>
        <v/>
      </c>
      <c r="O27">
        <f>IF([@Status]="Open",[@[Current Market Value]]-[@[Total Cost Basis]],0)</f>
        <v/>
      </c>
      <c r="P27">
        <f>IF([@[Total Cost Basis]]=0,0,IF([@Status]="Open",[@[Unrealized P/L (€)]]/[@[Total Cost Basis]],0))</f>
        <v/>
      </c>
      <c r="T27">
        <f>IF([@Status]="Closed",[@[Quantity / Nominal]]*[@[Sale Price]]-[@[Sale Fees]],0)</f>
        <v/>
      </c>
      <c r="U27">
        <f>IF([@Status]="Closed",[@[Net Sale Proceeds]]-[@[Total Cost Basis]],0)</f>
        <v/>
      </c>
      <c r="V27">
        <f>IF([@[Total Cost Basis]]=0,0,IF([@Status]="Closed",[@[Realized P/L (€)]]/[@[Total Cost Basis]],0))</f>
        <v/>
      </c>
      <c r="W27">
        <f>IF([@[Sale Date]]="","Open","Closed")</f>
        <v/>
      </c>
    </row>
    <row r="28">
      <c r="L28">
        <f>[@[Quantity / Nominal]]*[@[Purchase Price]]+[@[Purchase Fees]]+[@[Other Purchase Costs]]</f>
        <v/>
      </c>
      <c r="N28">
        <f>IF([@Status]="Open",[@[Quantity / Nominal]]*[@[Current Price]],0)</f>
        <v/>
      </c>
      <c r="O28">
        <f>IF([@Status]="Open",[@[Current Market Value]]-[@[Total Cost Basis]],0)</f>
        <v/>
      </c>
      <c r="P28">
        <f>IF([@[Total Cost Basis]]=0,0,IF([@Status]="Open",[@[Unrealized P/L (€)]]/[@[Total Cost Basis]],0))</f>
        <v/>
      </c>
      <c r="T28">
        <f>IF([@Status]="Closed",[@[Quantity / Nominal]]*[@[Sale Price]]-[@[Sale Fees]],0)</f>
        <v/>
      </c>
      <c r="U28">
        <f>IF([@Status]="Closed",[@[Net Sale Proceeds]]-[@[Total Cost Basis]],0)</f>
        <v/>
      </c>
      <c r="V28">
        <f>IF([@[Total Cost Basis]]=0,0,IF([@Status]="Closed",[@[Realized P/L (€)]]/[@[Total Cost Basis]],0))</f>
        <v/>
      </c>
      <c r="W28">
        <f>IF([@[Sale Date]]="","Open","Closed")</f>
        <v/>
      </c>
    </row>
  </sheetData>
  <mergeCells count="2">
    <mergeCell ref="A9:B9"/>
    <mergeCell ref="A1:D1"/>
  </mergeCells>
  <conditionalFormatting sqref="B1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1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5:O2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P25:P2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U25:U2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V25:V28">
    <cfRule type="cellIs" priority="15" operator="greaterThan" dxfId="0">
      <formula>0</formula>
    </cfRule>
    <cfRule type="cellIs" priority="16" operator="lessThan" dxfId="1">
      <formula>0</formula>
    </cfRule>
  </conditionalFormatting>
  <dataValidations count="3">
    <dataValidation sqref="B5" showDropDown="0" showInputMessage="0" showErrorMessage="0" allowBlank="0" error="Select a valid period." prompt="Filter KPIs by reporting period." type="list">
      <formula1>=Config!$C$2:$C$7</formula1>
    </dataValidation>
    <dataValidation sqref="B6" showDropDown="0" showInputMessage="0" showErrorMessage="0" allowBlank="0" error="Select a valid asset class." type="list">
      <formula1>=Config!$E$2:$E$8</formula1>
    </dataValidation>
    <dataValidation sqref="A25:A28" showDropDown="0" showInputMessage="0" showErrorMessage="0" allowBlank="1" type="list">
      <formula1>=Config!$E$3:$E$8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8"/>
  <sheetViews>
    <sheetView showGridLines="0"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5" customWidth="1" min="7" max="7"/>
    <col width="16" customWidth="1" min="8" max="8"/>
    <col width="20" customWidth="1" min="9" max="9"/>
    <col width="15" customWidth="1" min="10" max="10"/>
    <col width="22" customWidth="1" min="11" max="11"/>
    <col width="18" customWidth="1" min="12" max="12"/>
    <col width="15" customWidth="1" min="13" max="13"/>
    <col width="22" customWidth="1" min="14" max="14"/>
    <col width="20" customWidth="1" min="15" max="15"/>
    <col width="20" customWidth="1" min="16" max="16"/>
    <col width="12" customWidth="1" min="17" max="17"/>
    <col width="12" customWidth="1" min="18" max="18"/>
    <col width="12" customWidth="1" min="19" max="19"/>
    <col width="19" customWidth="1" min="20" max="20"/>
    <col width="18" customWidth="1" min="21" max="21"/>
    <col width="18" customWidth="1" min="22" max="22"/>
    <col width="12" customWidth="1" min="23" max="23"/>
    <col width="12" customWidth="1" min="24" max="24"/>
    <col width="13" customWidth="1" min="25" max="25"/>
    <col width="12" customWidth="1" min="26" max="26"/>
    <col width="18" customWidth="1" min="27" max="27"/>
    <col width="22" customWidth="1" min="28" max="28"/>
    <col width="18" customWidth="1" min="29" max="29"/>
    <col width="15" customWidth="1" min="30" max="30"/>
    <col width="19" customWidth="1" min="31" max="31"/>
    <col width="12" customWidth="1" min="32" max="32"/>
    <col width="16" customWidth="1" min="33" max="33"/>
    <col width="20" customWidth="1" min="34" max="34"/>
    <col width="12" customWidth="1" min="35" max="35"/>
    <col width="19" customWidth="1" min="36" max="36"/>
    <col width="12" customWidth="1" min="37" max="37"/>
    <col width="17" customWidth="1" min="38" max="38"/>
    <col width="15" customWidth="1" min="39" max="39"/>
    <col width="19" customWidth="1" min="40" max="40"/>
  </cols>
  <sheetData>
    <row r="1">
      <c r="A1" s="3" t="inlineStr">
        <is>
          <t>Account Summary — Interactive Brokers</t>
        </is>
      </c>
    </row>
    <row r="3">
      <c r="A3" s="1" t="inlineStr">
        <is>
          <t>Filters</t>
        </is>
      </c>
    </row>
    <row r="4">
      <c r="A4" s="2" t="inlineStr">
        <is>
          <t>Period</t>
        </is>
      </c>
      <c r="B4" s="4" t="inlineStr">
        <is>
          <t>Since Inception</t>
        </is>
      </c>
    </row>
    <row r="5">
      <c r="A5" s="2" t="inlineStr">
        <is>
          <t>Asset Class</t>
        </is>
      </c>
      <c r="B5" s="4" t="inlineStr">
        <is>
          <t>All</t>
        </is>
      </c>
    </row>
    <row r="6">
      <c r="A6" s="2" t="inlineStr">
        <is>
          <t>Custom Start</t>
        </is>
      </c>
      <c r="B6" s="5" t="inlineStr"/>
    </row>
    <row r="7">
      <c r="A7" s="2" t="inlineStr">
        <is>
          <t>Custom End</t>
        </is>
      </c>
      <c r="B7" s="5" t="inlineStr"/>
    </row>
    <row r="9">
      <c r="A9" s="6" t="inlineStr">
        <is>
          <t>Account KPIs</t>
        </is>
      </c>
    </row>
    <row r="11">
      <c r="A11" s="7" t="inlineStr">
        <is>
          <t>Current Account Value</t>
        </is>
      </c>
      <c r="B11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Date]&lt;&gt;""))))),IFERROR(SUM(FILTER(tbl_Interactive_Brokers[Current Market Value],((acSel="All")+(tbl_Interactive_Brokers[Asset Class]=acSel))*heldAtEnd(tbl_Interactive_Brokers[Purchase Date],tbl_Interactive_Brokers[Sale Date]))),0))</f>
        <v/>
      </c>
    </row>
    <row r="12">
      <c r="A12" s="7" t="inlineStr">
        <is>
          <t>Invested Capital</t>
        </is>
      </c>
      <c r="B12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Date]&lt;&gt;""))))),IFERROR(SUM(FILTER(tbl_Interactive_Brokers[Total Cost Basis],((acSel="All")+(tbl_Interactive_Brokers[Asset Class]=acSel))*inPeriod(tbl_Interactive_Brokers[Purchase Date]))),0))</f>
        <v/>
      </c>
    </row>
    <row r="13">
      <c r="A13" s="7" t="inlineStr">
        <is>
          <t>Unrealized P/L (€)</t>
        </is>
      </c>
      <c r="B13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Date]&lt;&gt;""))))),IFERROR(SUM(FILTER(tbl_Interactive_Brokers[Unrealized P/L (€)],((acSel="All")+(tbl_Interactive_Brokers[Asset Class]=acSel))*heldAtEnd(tbl_Interactive_Brokers[Purchase Date],tbl_Interactive_Brokers[Sale Date]))),0))</f>
        <v/>
      </c>
    </row>
    <row r="14">
      <c r="A14" s="7" t="inlineStr">
        <is>
          <t>Unrealized P/L (%)</t>
        </is>
      </c>
      <c r="B14" s="9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Date]&lt;&gt;""))))),IFERROR(IF(SUM(FILTER(tbl_Interactive_Brokers[Total Cost Basis],((acSel="All")+(tbl_Interactive_Brokers[Asset Class]=acSel))*heldAtEnd(tbl_Interactive_Brokers[Purchase Date],tbl_Interactive_Brokers[Sale Date])))=0,0,SUM(FILTER(tbl_Interactive_Brokers[Unrealized P/L (€)],((acSel="All")+(tbl_Interactive_Brokers[Asset Class]=acSel))*heldAtEnd(tbl_Interactive_Brokers[Purchase Date],tbl_Interactive_Brokers[Sale Date])))/SUM(FILTER(tbl_Interactive_Brokers[Total Cost Basis],((acSel="All")+(tbl_Interactive_Brokers[Asset Class]=acSel))*heldAtEnd(tbl_Interactive_Brokers[Purchase Date],tbl_Interactive_Brokers[Sale Date])))),0))</f>
        <v/>
      </c>
    </row>
    <row r="15">
      <c r="A15" s="7" t="inlineStr">
        <is>
          <t>Realized P/L (€)</t>
        </is>
      </c>
      <c r="B15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Date]&lt;&gt;""))))),IFERROR(SUM(FILTER(tbl_Interactive_Brokers[Realized P/L (€)],((acSel="All")+(tbl_Interactive_Brokers[Asset Class]=acSel))*inPeriod(tbl_Interactive_Brokers[Sale Date]))),0))</f>
        <v/>
      </c>
    </row>
    <row r="16">
      <c r="A16" s="7" t="inlineStr">
        <is>
          <t>Realized P/L (%)</t>
        </is>
      </c>
      <c r="B16" s="9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Date]&lt;&gt;""))))),IFERROR(IF(SUM(FILTER(tbl_Interactive_Brokers[Total Cost Basis],((acSel="All")+(tbl_Interactive_Brokers[Asset Class]=acSel))*inPeriod(tbl_Interactive_Brokers[Sale Date])))=0,0,SUM(FILTER(tbl_Interactive_Brokers[Realized P/L (€)],((acSel="All")+(tbl_Interactive_Brokers[Asset Class]=acSel))*inPeriod(tbl_Interactive_Brokers[Sale Date])))/SUM(FILTER(tbl_Interactive_Brokers[Total Cost Basis],((acSel="All")+(tbl_Interactive_Brokers[Asset Class]=acSel))*inPeriod(tbl_Interactive_Brokers[Sale Date])))),0))</f>
        <v/>
      </c>
    </row>
    <row r="17">
      <c r="A17" s="7" t="inlineStr">
        <is>
          <t>Cash Balance</t>
        </is>
      </c>
      <c r="B17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Date]&lt;&gt;""))))),IFERROR(SUM(FILTER(tbl_Interactive_Brokers[Current Market Value],(tbl_Interactive_Brokers[Asset Class]="Cash")*heldAtEnd(tbl_Interactive_Brokers[Purchase Date],tbl_Interactive_Brokers[Sale Date])),0))</f>
        <v/>
      </c>
    </row>
    <row r="18">
      <c r="A18" s="7" t="inlineStr">
        <is>
          <t>Coupons Received</t>
        </is>
      </c>
      <c r="B18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Date]&lt;&gt;""))))),IFERROR(incomeInPeriod(tbl_Interactive_Brokers[Coupons Received]),0))</f>
        <v/>
      </c>
    </row>
    <row r="19">
      <c r="A19" s="7" t="inlineStr">
        <is>
          <t>Dividends Received</t>
        </is>
      </c>
      <c r="B19" s="8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Date]&lt;&gt;""))))),IFERROR(incomeInPeriod(tbl_Interactive_Brokers[Dividends Received])+incomeInPeriod(tbl_Interactive_Brokers[Interest Received]),0))</f>
        <v/>
      </c>
    </row>
    <row r="20">
      <c r="A20" s="7" t="inlineStr">
        <is>
          <t>Open Positions</t>
        </is>
      </c>
      <c r="B20" s="10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Date]&lt;&gt;""))))),IFERROR(ROWS(FILTER(tbl_Interactive_Brokers[Asset Class],((acSel="All")+(tbl_Interactive_Brokers[Asset Class]=acSel))*(tbl_Interactive_Brokers[Status]="Open")*heldAtEnd(tbl_Interactive_Brokers[Purchase Date],tbl_Interactive_Brokers[Sale Date]))),0))</f>
        <v/>
      </c>
    </row>
    <row r="21">
      <c r="A21" s="7" t="inlineStr">
        <is>
          <t>Closed Positions</t>
        </is>
      </c>
      <c r="B21" s="10">
        <f>LET(pSel,$B5,acSel,$B6,cStart,$B7,cEnd,$B8,pStart,SWITCH(pSel,"Current Month",DATE(YEAR(TODAY()),MONTH(TODAY()),1),"Current Quarter",DATE(YEAR(TODAY()),INT((MONTH(TODAY())-1)/3)*3+1,1),"Current Year",DATE(YEAR(TODAY()),1,1),"Previous Year",DATE(YEAR(TODAY())-1,1,1),"Since Inception",DATE(1900,1,1),"Custom",cStart,DATE(1900,1,1)),pEnd,SWITCH(pSel,"Current Month",EOMONTH(TODAY(),0),"Current Quarter",EOMONTH(DATE(YEAR(TODAY()),INT((MONTH(TODAY())-1)/3)*3+3,1),0),"Current Year",DATE(YEAR(TODAY()),12,31),"Previous Year",DATE(YEAR(TODAY())-1,12,31),"Since Inception",DATE(9999,12,31),"Custom",cEnd,DATE(9999,12,31)),acOK,LAMBDA(c,OR(acSel="All",acSel=c)),heldAtEnd,LAMBDA(pd,sd,(pd&lt;&gt;"")*(pd&lt;=pEnd)*((sd="")+(sd&gt;pEnd))),inPeriod,LAMBDA(dt,(dt&lt;&gt;"")*(dt&gt;=pStart)*(dt&lt;=pEnd)),incomeInPeriod,LAMBDA(amtCol,IF(pSel="Since Inception",SUM(FILTER(amtCol,(acSel="All")+(tbl_Interactive_Brokers[Asset Class]=acSel))),SUM(FILTER(amtCol,((acSel="All")+(tbl_Interactive_Brokers[Asset Class]=acSel))*(tbl_Interactive_Brokers[Income Date]&gt;=pStart)*(tbl_Interactive_Brokers[Income Date]&lt;=pEnd)*(tbl_Interactive_Brokers[Income Date]&lt;&gt;""))))),IFERROR(ROWS(FILTER(tbl_Interactive_Brokers[Asset Class],((acSel="All")+(tbl_Interactive_Brokers[Asset Class]=acSel))*(tbl_Interactive_Brokers[Status]="Closed")*inPeriod(tbl_Interactive_Brokers[Sale Date]))),0))</f>
        <v/>
      </c>
    </row>
    <row r="23">
      <c r="A23" s="1" t="inlineStr">
        <is>
          <t>Master Investment Table</t>
        </is>
      </c>
    </row>
    <row r="24">
      <c r="A24" s="11" t="inlineStr">
        <is>
          <t>Asset Class</t>
        </is>
      </c>
      <c r="B24" s="11" t="inlineStr">
        <is>
          <t>ISIN</t>
        </is>
      </c>
      <c r="C24" s="11" t="inlineStr">
        <is>
          <t>Ticker</t>
        </is>
      </c>
      <c r="D24" s="11" t="inlineStr">
        <is>
          <t>Security Name</t>
        </is>
      </c>
      <c r="E24" s="11" t="inlineStr">
        <is>
          <t>Issuer</t>
        </is>
      </c>
      <c r="F24" s="11" t="inlineStr">
        <is>
          <t>Currency</t>
        </is>
      </c>
      <c r="G24" s="11" t="inlineStr">
        <is>
          <t>Purchase Date</t>
        </is>
      </c>
      <c r="H24" s="11" t="inlineStr">
        <is>
          <t>Purchase Price</t>
        </is>
      </c>
      <c r="I24" s="11" t="inlineStr">
        <is>
          <t>Quantity / Nominal</t>
        </is>
      </c>
      <c r="J24" s="11" t="inlineStr">
        <is>
          <t>Purchase Fees</t>
        </is>
      </c>
      <c r="K24" s="11" t="inlineStr">
        <is>
          <t>Other Purchase Costs</t>
        </is>
      </c>
      <c r="L24" s="11" t="inlineStr">
        <is>
          <t>Total Cost Basis</t>
        </is>
      </c>
      <c r="M24" s="11" t="inlineStr">
        <is>
          <t>Current Price</t>
        </is>
      </c>
      <c r="N24" s="11" t="inlineStr">
        <is>
          <t>Current Market Value</t>
        </is>
      </c>
      <c r="O24" s="11" t="inlineStr">
        <is>
          <t>Unrealized P/L (€)</t>
        </is>
      </c>
      <c r="P24" s="11" t="inlineStr">
        <is>
          <t>Unrealized P/L (%)</t>
        </is>
      </c>
      <c r="Q24" s="11" t="inlineStr">
        <is>
          <t>Sale Date</t>
        </is>
      </c>
      <c r="R24" s="11" t="inlineStr">
        <is>
          <t>Sale Price</t>
        </is>
      </c>
      <c r="S24" s="11" t="inlineStr">
        <is>
          <t>Sale Fees</t>
        </is>
      </c>
      <c r="T24" s="11" t="inlineStr">
        <is>
          <t>Net Sale Proceeds</t>
        </is>
      </c>
      <c r="U24" s="11" t="inlineStr">
        <is>
          <t>Realized P/L (€)</t>
        </is>
      </c>
      <c r="V24" s="11" t="inlineStr">
        <is>
          <t>Realized P/L (%)</t>
        </is>
      </c>
      <c r="W24" s="11" t="inlineStr">
        <is>
          <t>Status</t>
        </is>
      </c>
      <c r="X24" s="11" t="inlineStr">
        <is>
          <t>Notes</t>
        </is>
      </c>
      <c r="Y24" s="11" t="inlineStr">
        <is>
          <t>Income Date</t>
        </is>
      </c>
      <c r="Z24" s="11" t="inlineStr">
        <is>
          <t>Coupon %</t>
        </is>
      </c>
      <c r="AA24" s="11" t="inlineStr">
        <is>
          <t>Coupon Frequency</t>
        </is>
      </c>
      <c r="AB24" s="11" t="inlineStr">
        <is>
          <t>Coupon Payment Dates</t>
        </is>
      </c>
      <c r="AC24" s="11" t="inlineStr">
        <is>
          <t>Coupons Received</t>
        </is>
      </c>
      <c r="AD24" s="11" t="inlineStr">
        <is>
          <t>Maturity Date</t>
        </is>
      </c>
      <c r="AE24" s="11" t="inlineStr">
        <is>
          <t>Yield to Maturity</t>
        </is>
      </c>
      <c r="AF24" s="11" t="inlineStr">
        <is>
          <t>Duration</t>
        </is>
      </c>
      <c r="AG24" s="11" t="inlineStr">
        <is>
          <t>Dividend Yield</t>
        </is>
      </c>
      <c r="AH24" s="11" t="inlineStr">
        <is>
          <t>Dividends Received</t>
        </is>
      </c>
      <c r="AI24" s="11" t="inlineStr">
        <is>
          <t>Exchange</t>
        </is>
      </c>
      <c r="AJ24" s="11" t="inlineStr">
        <is>
          <t>Distribution Type</t>
        </is>
      </c>
      <c r="AK24" s="11" t="inlineStr">
        <is>
          <t>TER</t>
        </is>
      </c>
      <c r="AL24" s="11" t="inlineStr">
        <is>
          <t>Benchmark Index</t>
        </is>
      </c>
      <c r="AM24" s="11" t="inlineStr">
        <is>
          <t>Interest Rate</t>
        </is>
      </c>
      <c r="AN24" s="11" t="inlineStr">
        <is>
          <t>Interest Received</t>
        </is>
      </c>
    </row>
    <row r="25">
      <c r="A25" t="inlineStr">
        <is>
          <t>Funds</t>
        </is>
      </c>
      <c r="B25" t="inlineStr">
        <is>
          <t>LU1781541179</t>
        </is>
      </c>
      <c r="C25" t="inlineStr">
        <is>
          <t>VWCE</t>
        </is>
      </c>
      <c r="D25" t="inlineStr">
        <is>
          <t>Vanguard FTSE All-World</t>
        </is>
      </c>
      <c r="E25" t="inlineStr">
        <is>
          <t>Vanguard</t>
        </is>
      </c>
      <c r="F25" t="inlineStr">
        <is>
          <t>EUR</t>
        </is>
      </c>
      <c r="G25" s="12" t="inlineStr">
        <is>
          <t>2024-02-20</t>
        </is>
      </c>
      <c r="H25" s="13" t="n">
        <v>102.3</v>
      </c>
      <c r="I25" t="n">
        <v>80</v>
      </c>
      <c r="J25" s="13" t="n">
        <v>3.5</v>
      </c>
      <c r="K25" s="13" t="n">
        <v>0</v>
      </c>
      <c r="L25" s="13">
        <f>[@[Quantity / Nominal]]*[@[Purchase Price]]+[@[Purchase Fees]]+[@[Other Purchase Costs]]</f>
        <v/>
      </c>
      <c r="M25" s="13" t="n">
        <v>118.7</v>
      </c>
      <c r="N25" s="13">
        <f>IF([@Status]="Open",[@[Quantity / Nominal]]*[@[Current Price]],0)</f>
        <v/>
      </c>
      <c r="O25" s="13">
        <f>IF([@Status]="Open",[@[Current Market Value]]-[@[Total Cost Basis]],0)</f>
        <v/>
      </c>
      <c r="P25" s="14">
        <f>IF([@[Total Cost Basis]]=0,0,IF([@Status]="Open",[@[Unrealized P/L (€)]]/[@[Total Cost Basis]],0))</f>
        <v/>
      </c>
      <c r="Q25" s="12" t="n"/>
      <c r="R25" s="13" t="n"/>
      <c r="T25" s="13">
        <f>IF([@Status]="Closed",[@[Quantity / Nominal]]*[@[Sale Price]]-[@[Sale Fees]],0)</f>
        <v/>
      </c>
      <c r="U25" s="13">
        <f>IF([@Status]="Closed",[@[Net Sale Proceeds]]-[@[Total Cost Basis]],0)</f>
        <v/>
      </c>
      <c r="V25" s="14">
        <f>IF([@[Total Cost Basis]]=0,0,IF([@Status]="Closed",[@[Realized P/L (€)]]/[@[Total Cost Basis]],0))</f>
        <v/>
      </c>
      <c r="W25">
        <f>IF([@[Sale Date]]="","Open","Closed")</f>
        <v/>
      </c>
      <c r="Y25" s="12" t="n"/>
      <c r="Z25" s="14" t="n"/>
      <c r="AC25" s="13" t="n"/>
      <c r="AD25" s="12" t="n"/>
      <c r="AE25" s="14" t="n"/>
      <c r="AG25" s="14" t="n"/>
      <c r="AH25" s="13" t="n"/>
      <c r="AK25" s="14" t="n"/>
      <c r="AM25" s="14" t="n"/>
      <c r="AN25" s="13" t="n"/>
    </row>
    <row r="26">
      <c r="A26" t="inlineStr">
        <is>
          <t>Stocks</t>
        </is>
      </c>
      <c r="B26" t="inlineStr">
        <is>
          <t>NL0010273215</t>
        </is>
      </c>
      <c r="C26" t="inlineStr">
        <is>
          <t>ASML</t>
        </is>
      </c>
      <c r="D26" t="inlineStr">
        <is>
          <t>ASML Holding</t>
        </is>
      </c>
      <c r="E26" t="inlineStr">
        <is>
          <t>ASML</t>
        </is>
      </c>
      <c r="F26" t="inlineStr">
        <is>
          <t>EUR</t>
        </is>
      </c>
      <c r="G26" s="12" t="inlineStr">
        <is>
          <t>2023-09-05</t>
        </is>
      </c>
      <c r="H26" s="13" t="n">
        <v>620</v>
      </c>
      <c r="I26" t="n">
        <v>10</v>
      </c>
      <c r="J26" s="13" t="n">
        <v>4</v>
      </c>
      <c r="K26" s="13" t="n">
        <v>0</v>
      </c>
      <c r="L26" s="13">
        <f>[@[Quantity / Nominal]]*[@[Purchase Price]]+[@[Purchase Fees]]+[@[Other Purchase Costs]]</f>
        <v/>
      </c>
      <c r="M26" s="13" t="n">
        <v>710</v>
      </c>
      <c r="N26" s="13">
        <f>IF([@Status]="Open",[@[Quantity / Nominal]]*[@[Current Price]],0)</f>
        <v/>
      </c>
      <c r="O26" s="13">
        <f>IF([@Status]="Open",[@[Current Market Value]]-[@[Total Cost Basis]],0)</f>
        <v/>
      </c>
      <c r="P26" s="14">
        <f>IF([@[Total Cost Basis]]=0,0,IF([@Status]="Open",[@[Unrealized P/L (€)]]/[@[Total Cost Basis]],0))</f>
        <v/>
      </c>
      <c r="Q26" s="12" t="inlineStr">
        <is>
          <t>2025-04-10</t>
        </is>
      </c>
      <c r="R26" s="13" t="n">
        <v>705</v>
      </c>
      <c r="S26" t="n">
        <v>4</v>
      </c>
      <c r="T26" s="13">
        <f>IF([@Status]="Closed",[@[Quantity / Nominal]]*[@[Sale Price]]-[@[Sale Fees]],0)</f>
        <v/>
      </c>
      <c r="U26" s="13">
        <f>IF([@Status]="Closed",[@[Net Sale Proceeds]]-[@[Total Cost Basis]],0)</f>
        <v/>
      </c>
      <c r="V26" s="14">
        <f>IF([@[Total Cost Basis]]=0,0,IF([@Status]="Closed",[@[Realized P/L (€)]]/[@[Total Cost Basis]],0))</f>
        <v/>
      </c>
      <c r="W26">
        <f>IF([@[Sale Date]]="","Open","Closed")</f>
        <v/>
      </c>
      <c r="Y26" s="12" t="n"/>
      <c r="Z26" s="14" t="n"/>
      <c r="AC26" s="13" t="n"/>
      <c r="AD26" s="12" t="n"/>
      <c r="AE26" s="14" t="n"/>
      <c r="AG26" s="14" t="n"/>
      <c r="AH26" s="13" t="n"/>
      <c r="AI26" t="inlineStr">
        <is>
          <t>Euronext Amsterdam</t>
        </is>
      </c>
      <c r="AK26" s="14" t="n"/>
      <c r="AM26" s="14" t="n"/>
      <c r="AN26" s="13" t="n"/>
    </row>
    <row r="27">
      <c r="L27">
        <f>[@[Quantity / Nominal]]*[@[Purchase Price]]+[@[Purchase Fees]]+[@[Other Purchase Costs]]</f>
        <v/>
      </c>
      <c r="N27">
        <f>IF([@Status]="Open",[@[Quantity / Nominal]]*[@[Current Price]],0)</f>
        <v/>
      </c>
      <c r="O27">
        <f>IF([@Status]="Open",[@[Current Market Value]]-[@[Total Cost Basis]],0)</f>
        <v/>
      </c>
      <c r="P27">
        <f>IF([@[Total Cost Basis]]=0,0,IF([@Status]="Open",[@[Unrealized P/L (€)]]/[@[Total Cost Basis]],0))</f>
        <v/>
      </c>
      <c r="T27">
        <f>IF([@Status]="Closed",[@[Quantity / Nominal]]*[@[Sale Price]]-[@[Sale Fees]],0)</f>
        <v/>
      </c>
      <c r="U27">
        <f>IF([@Status]="Closed",[@[Net Sale Proceeds]]-[@[Total Cost Basis]],0)</f>
        <v/>
      </c>
      <c r="V27">
        <f>IF([@[Total Cost Basis]]=0,0,IF([@Status]="Closed",[@[Realized P/L (€)]]/[@[Total Cost Basis]],0))</f>
        <v/>
      </c>
      <c r="W27">
        <f>IF([@[Sale Date]]="","Open","Closed")</f>
        <v/>
      </c>
    </row>
    <row r="28">
      <c r="L28">
        <f>[@[Quantity / Nominal]]*[@[Purchase Price]]+[@[Purchase Fees]]+[@[Other Purchase Costs]]</f>
        <v/>
      </c>
      <c r="N28">
        <f>IF([@Status]="Open",[@[Quantity / Nominal]]*[@[Current Price]],0)</f>
        <v/>
      </c>
      <c r="O28">
        <f>IF([@Status]="Open",[@[Current Market Value]]-[@[Total Cost Basis]],0)</f>
        <v/>
      </c>
      <c r="P28">
        <f>IF([@[Total Cost Basis]]=0,0,IF([@Status]="Open",[@[Unrealized P/L (€)]]/[@[Total Cost Basis]],0))</f>
        <v/>
      </c>
      <c r="T28">
        <f>IF([@Status]="Closed",[@[Quantity / Nominal]]*[@[Sale Price]]-[@[Sale Fees]],0)</f>
        <v/>
      </c>
      <c r="U28">
        <f>IF([@Status]="Closed",[@[Net Sale Proceeds]]-[@[Total Cost Basis]],0)</f>
        <v/>
      </c>
      <c r="V28">
        <f>IF([@[Total Cost Basis]]=0,0,IF([@Status]="Closed",[@[Realized P/L (€)]]/[@[Total Cost Basis]],0))</f>
        <v/>
      </c>
      <c r="W28">
        <f>IF([@[Sale Date]]="","Open","Closed")</f>
        <v/>
      </c>
    </row>
  </sheetData>
  <mergeCells count="2">
    <mergeCell ref="A9:B9"/>
    <mergeCell ref="A1:D1"/>
  </mergeCells>
  <conditionalFormatting sqref="B1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1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5:O2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P25:P2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U25:U2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V25:V28">
    <cfRule type="cellIs" priority="15" operator="greaterThan" dxfId="0">
      <formula>0</formula>
    </cfRule>
    <cfRule type="cellIs" priority="16" operator="lessThan" dxfId="1">
      <formula>0</formula>
    </cfRule>
  </conditionalFormatting>
  <dataValidations count="3">
    <dataValidation sqref="B5" showDropDown="0" showInputMessage="0" showErrorMessage="0" allowBlank="0" error="Select a valid period." prompt="Filter KPIs by reporting period." type="list">
      <formula1>=Config!$C$2:$C$7</formula1>
    </dataValidation>
    <dataValidation sqref="B6" showDropDown="0" showInputMessage="0" showErrorMessage="0" allowBlank="0" error="Select a valid asset class." type="list">
      <formula1>=Config!$E$2:$E$8</formula1>
    </dataValidation>
    <dataValidation sqref="A25:A28" showDropDown="0" showInputMessage="0" showErrorMessage="0" allowBlank="1" type="list">
      <formula1>=Config!$E$3:$E$8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Portfolio Tracker Builder</dc:creator>
  <dc:title>Investment Portfolio Tracker</dc:title>
  <dc:description>Formula-driven investment portfolio tracker using Excel Tables and dynamic arrays.</dc:description>
  <dc:subject>Automated portfolio and account performance tracker</dc:subject>
  <dcterms:created xsi:type="dcterms:W3CDTF">2026-07-25T14:34:03Z</dcterms:created>
  <dcterms:modified xsi:type="dcterms:W3CDTF">2026-07-25T14:34:03Z</dcterms:modified>
</cp:coreProperties>
</file>